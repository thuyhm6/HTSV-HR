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Hạnh\BẢN MẪU XẾP CA\"/>
    </mc:Choice>
  </mc:AlternateContent>
  <bookViews>
    <workbookView xWindow="0" yWindow="0" windowWidth="15360" windowHeight="7620"/>
  </bookViews>
  <sheets>
    <sheet name="Template" sheetId="1" r:id="rId1"/>
    <sheet name="TemplateCode" sheetId="2" r:id="rId2"/>
  </sheets>
  <definedNames>
    <definedName name="dept">TemplateCode!$A$2:$A$5</definedName>
    <definedName name="xb">TemplateCode!$E$2:$E$10</definedName>
    <definedName name="ygzt">Template!#REF!</definedName>
  </definedNames>
  <calcPr calcId="162913"/>
</workbook>
</file>

<file path=xl/calcChain.xml><?xml version="1.0" encoding="utf-8"?>
<calcChain xmlns="http://schemas.openxmlformats.org/spreadsheetml/2006/main">
  <c r="I649" i="1" l="1"/>
  <c r="H649" i="1"/>
  <c r="F649" i="1"/>
  <c r="E649" i="1"/>
  <c r="I648" i="1"/>
  <c r="H648" i="1"/>
  <c r="F648" i="1"/>
  <c r="E648" i="1"/>
  <c r="I647" i="1"/>
  <c r="H647" i="1"/>
  <c r="F647" i="1"/>
  <c r="E647" i="1"/>
  <c r="I646" i="1"/>
  <c r="H646" i="1"/>
  <c r="F646" i="1"/>
  <c r="E646" i="1"/>
  <c r="I645" i="1"/>
  <c r="H645" i="1"/>
  <c r="F645" i="1"/>
  <c r="E645" i="1"/>
  <c r="I644" i="1"/>
  <c r="H644" i="1"/>
  <c r="F644" i="1"/>
  <c r="E644" i="1"/>
  <c r="I643" i="1"/>
  <c r="H643" i="1"/>
  <c r="F643" i="1"/>
  <c r="E643" i="1"/>
  <c r="I642" i="1"/>
  <c r="H642" i="1"/>
  <c r="F642" i="1"/>
  <c r="E642" i="1"/>
  <c r="I641" i="1"/>
  <c r="H641" i="1"/>
  <c r="F641" i="1"/>
  <c r="E641" i="1"/>
  <c r="I640" i="1"/>
  <c r="H640" i="1"/>
  <c r="F640" i="1"/>
  <c r="E640" i="1"/>
  <c r="I639" i="1"/>
  <c r="H639" i="1"/>
  <c r="F639" i="1"/>
  <c r="E639" i="1"/>
  <c r="I638" i="1"/>
  <c r="H638" i="1"/>
  <c r="F638" i="1"/>
  <c r="E638" i="1"/>
  <c r="I637" i="1"/>
  <c r="H637" i="1"/>
  <c r="F637" i="1"/>
  <c r="E637" i="1"/>
  <c r="I636" i="1"/>
  <c r="H636" i="1"/>
  <c r="F636" i="1"/>
  <c r="E636" i="1"/>
  <c r="I635" i="1"/>
  <c r="H635" i="1"/>
  <c r="F635" i="1"/>
  <c r="E635" i="1"/>
  <c r="I634" i="1"/>
  <c r="H634" i="1"/>
  <c r="F634" i="1"/>
  <c r="E634" i="1"/>
  <c r="I633" i="1"/>
  <c r="H633" i="1"/>
  <c r="F633" i="1"/>
  <c r="E633" i="1"/>
  <c r="I632" i="1"/>
  <c r="H632" i="1"/>
  <c r="F632" i="1"/>
  <c r="E632" i="1"/>
  <c r="I631" i="1"/>
  <c r="H631" i="1"/>
  <c r="F631" i="1"/>
  <c r="E631" i="1"/>
  <c r="I630" i="1"/>
  <c r="H630" i="1"/>
  <c r="F630" i="1"/>
  <c r="E630" i="1"/>
  <c r="I629" i="1"/>
  <c r="H629" i="1"/>
  <c r="F629" i="1"/>
  <c r="E629" i="1"/>
  <c r="I628" i="1"/>
  <c r="H628" i="1"/>
  <c r="F628" i="1"/>
  <c r="E628" i="1"/>
  <c r="I627" i="1"/>
  <c r="H627" i="1"/>
  <c r="F627" i="1"/>
  <c r="E627" i="1"/>
  <c r="I626" i="1"/>
  <c r="H626" i="1"/>
  <c r="F626" i="1"/>
  <c r="E626" i="1"/>
  <c r="I625" i="1"/>
  <c r="H625" i="1"/>
  <c r="F625" i="1"/>
  <c r="E625" i="1"/>
  <c r="I624" i="1"/>
  <c r="H624" i="1"/>
  <c r="F624" i="1"/>
  <c r="E624" i="1"/>
  <c r="I623" i="1"/>
  <c r="H623" i="1"/>
  <c r="F623" i="1"/>
  <c r="E623" i="1"/>
  <c r="I622" i="1"/>
  <c r="H622" i="1"/>
  <c r="F622" i="1"/>
  <c r="E622" i="1"/>
  <c r="I621" i="1"/>
  <c r="H621" i="1"/>
  <c r="F621" i="1"/>
  <c r="E621" i="1"/>
  <c r="I620" i="1"/>
  <c r="H620" i="1"/>
  <c r="F620" i="1"/>
  <c r="E620" i="1"/>
  <c r="I619" i="1"/>
  <c r="H619" i="1"/>
  <c r="F619" i="1"/>
  <c r="E619" i="1"/>
  <c r="I618" i="1"/>
  <c r="H618" i="1"/>
  <c r="F618" i="1"/>
  <c r="E618" i="1"/>
  <c r="I617" i="1"/>
  <c r="H617" i="1"/>
  <c r="F617" i="1"/>
  <c r="E617" i="1"/>
  <c r="I616" i="1"/>
  <c r="H616" i="1"/>
  <c r="F616" i="1"/>
  <c r="E616" i="1"/>
  <c r="I615" i="1"/>
  <c r="H615" i="1"/>
  <c r="F615" i="1"/>
  <c r="E615" i="1"/>
  <c r="I614" i="1"/>
  <c r="H614" i="1"/>
  <c r="F614" i="1"/>
  <c r="E614" i="1"/>
  <c r="I613" i="1"/>
  <c r="H613" i="1"/>
  <c r="F613" i="1"/>
  <c r="E613" i="1"/>
  <c r="I612" i="1"/>
  <c r="H612" i="1"/>
  <c r="F612" i="1"/>
  <c r="E612" i="1"/>
  <c r="I611" i="1"/>
  <c r="H611" i="1"/>
  <c r="F611" i="1"/>
  <c r="E611" i="1"/>
  <c r="I610" i="1"/>
  <c r="H610" i="1"/>
  <c r="F610" i="1"/>
  <c r="E610" i="1"/>
  <c r="I609" i="1"/>
  <c r="H609" i="1"/>
  <c r="F609" i="1"/>
  <c r="E609" i="1"/>
  <c r="I608" i="1"/>
  <c r="H608" i="1"/>
  <c r="F608" i="1"/>
  <c r="E608" i="1"/>
  <c r="I607" i="1"/>
  <c r="H607" i="1"/>
  <c r="F607" i="1"/>
  <c r="E607" i="1"/>
  <c r="I606" i="1"/>
  <c r="H606" i="1"/>
  <c r="F606" i="1"/>
  <c r="E606" i="1"/>
  <c r="I605" i="1"/>
  <c r="H605" i="1"/>
  <c r="F605" i="1"/>
  <c r="E605" i="1"/>
  <c r="I604" i="1"/>
  <c r="H604" i="1"/>
  <c r="F604" i="1"/>
  <c r="E604" i="1"/>
  <c r="I603" i="1"/>
  <c r="H603" i="1"/>
  <c r="F603" i="1"/>
  <c r="E603" i="1"/>
  <c r="I602" i="1"/>
  <c r="H602" i="1"/>
  <c r="F602" i="1"/>
  <c r="E602" i="1"/>
  <c r="I601" i="1"/>
  <c r="H601" i="1"/>
  <c r="F601" i="1"/>
  <c r="E601" i="1"/>
  <c r="I600" i="1"/>
  <c r="H600" i="1"/>
  <c r="F600" i="1"/>
  <c r="E600" i="1"/>
  <c r="I599" i="1"/>
  <c r="H599" i="1"/>
  <c r="F599" i="1"/>
  <c r="E599" i="1"/>
  <c r="I598" i="1"/>
  <c r="H598" i="1"/>
  <c r="F598" i="1"/>
  <c r="E598" i="1"/>
  <c r="I597" i="1"/>
  <c r="H597" i="1"/>
  <c r="F597" i="1"/>
  <c r="E597" i="1"/>
  <c r="I596" i="1"/>
  <c r="H596" i="1"/>
  <c r="F596" i="1"/>
  <c r="E596" i="1"/>
  <c r="I595" i="1"/>
  <c r="H595" i="1"/>
  <c r="F595" i="1"/>
  <c r="E595" i="1"/>
  <c r="I594" i="1"/>
  <c r="H594" i="1"/>
  <c r="F594" i="1"/>
  <c r="E594" i="1"/>
  <c r="I593" i="1"/>
  <c r="H593" i="1"/>
  <c r="F593" i="1"/>
  <c r="E593" i="1"/>
  <c r="I592" i="1"/>
  <c r="H592" i="1"/>
  <c r="F592" i="1"/>
  <c r="E592" i="1"/>
  <c r="I591" i="1"/>
  <c r="H591" i="1"/>
  <c r="F591" i="1"/>
  <c r="E591" i="1"/>
  <c r="I590" i="1"/>
  <c r="H590" i="1"/>
  <c r="F590" i="1"/>
  <c r="E590" i="1"/>
  <c r="I589" i="1"/>
  <c r="H589" i="1"/>
  <c r="F589" i="1"/>
  <c r="E589" i="1"/>
  <c r="I588" i="1"/>
  <c r="H588" i="1"/>
  <c r="F588" i="1"/>
  <c r="E588" i="1"/>
  <c r="I587" i="1"/>
  <c r="H587" i="1"/>
  <c r="F587" i="1"/>
  <c r="E587" i="1"/>
  <c r="I586" i="1"/>
  <c r="H586" i="1"/>
  <c r="F586" i="1"/>
  <c r="E586" i="1"/>
  <c r="I585" i="1"/>
  <c r="H585" i="1"/>
  <c r="F585" i="1"/>
  <c r="E585" i="1"/>
  <c r="I584" i="1"/>
  <c r="H584" i="1"/>
  <c r="F584" i="1"/>
  <c r="E584" i="1"/>
  <c r="I583" i="1"/>
  <c r="H583" i="1"/>
  <c r="F583" i="1"/>
  <c r="E583" i="1"/>
  <c r="I582" i="1"/>
  <c r="H582" i="1"/>
  <c r="F582" i="1"/>
  <c r="E582" i="1"/>
  <c r="I581" i="1"/>
  <c r="H581" i="1"/>
  <c r="F581" i="1"/>
  <c r="E581" i="1"/>
  <c r="I580" i="1"/>
  <c r="H580" i="1"/>
  <c r="F580" i="1"/>
  <c r="E580" i="1"/>
  <c r="I579" i="1"/>
  <c r="H579" i="1"/>
  <c r="F579" i="1"/>
  <c r="E579" i="1"/>
  <c r="I578" i="1"/>
  <c r="H578" i="1"/>
  <c r="F578" i="1"/>
  <c r="E578" i="1"/>
  <c r="I577" i="1"/>
  <c r="H577" i="1"/>
  <c r="F577" i="1"/>
  <c r="E577" i="1"/>
  <c r="I576" i="1"/>
  <c r="H576" i="1"/>
  <c r="F576" i="1"/>
  <c r="E576" i="1"/>
  <c r="I575" i="1"/>
  <c r="H575" i="1"/>
  <c r="F575" i="1"/>
  <c r="E575" i="1"/>
  <c r="I574" i="1"/>
  <c r="H574" i="1"/>
  <c r="F574" i="1"/>
  <c r="E574" i="1"/>
  <c r="I573" i="1"/>
  <c r="H573" i="1"/>
  <c r="F573" i="1"/>
  <c r="E573" i="1"/>
  <c r="I572" i="1"/>
  <c r="H572" i="1"/>
  <c r="F572" i="1"/>
  <c r="E572" i="1"/>
  <c r="I571" i="1"/>
  <c r="H571" i="1"/>
  <c r="F571" i="1"/>
  <c r="E571" i="1"/>
  <c r="I570" i="1"/>
  <c r="H570" i="1"/>
  <c r="F570" i="1"/>
  <c r="E570" i="1"/>
  <c r="I569" i="1"/>
  <c r="H569" i="1"/>
  <c r="F569" i="1"/>
  <c r="E569" i="1"/>
  <c r="I568" i="1"/>
  <c r="H568" i="1"/>
  <c r="F568" i="1"/>
  <c r="E568" i="1"/>
  <c r="I567" i="1"/>
  <c r="H567" i="1"/>
  <c r="F567" i="1"/>
  <c r="E567" i="1"/>
  <c r="I566" i="1"/>
  <c r="H566" i="1"/>
  <c r="F566" i="1"/>
  <c r="E566" i="1"/>
  <c r="I565" i="1"/>
  <c r="H565" i="1"/>
  <c r="F565" i="1"/>
  <c r="E565" i="1"/>
  <c r="I564" i="1"/>
  <c r="H564" i="1"/>
  <c r="F564" i="1"/>
  <c r="E564" i="1"/>
  <c r="I563" i="1"/>
  <c r="H563" i="1"/>
  <c r="F563" i="1"/>
  <c r="E563" i="1"/>
  <c r="I562" i="1"/>
  <c r="H562" i="1"/>
  <c r="F562" i="1"/>
  <c r="E562" i="1"/>
  <c r="I561" i="1"/>
  <c r="H561" i="1"/>
  <c r="F561" i="1"/>
  <c r="E561" i="1"/>
  <c r="I560" i="1"/>
  <c r="H560" i="1"/>
  <c r="F560" i="1"/>
  <c r="E560" i="1"/>
  <c r="I559" i="1"/>
  <c r="H559" i="1"/>
  <c r="F559" i="1"/>
  <c r="E559" i="1"/>
  <c r="I558" i="1"/>
  <c r="H558" i="1"/>
  <c r="F558" i="1"/>
  <c r="E558" i="1"/>
  <c r="I557" i="1"/>
  <c r="H557" i="1"/>
  <c r="F557" i="1"/>
  <c r="E557" i="1"/>
  <c r="I556" i="1"/>
  <c r="H556" i="1"/>
  <c r="F556" i="1"/>
  <c r="E556" i="1"/>
  <c r="I555" i="1"/>
  <c r="H555" i="1"/>
  <c r="F555" i="1"/>
  <c r="E555" i="1"/>
  <c r="I554" i="1"/>
  <c r="H554" i="1"/>
  <c r="F554" i="1"/>
  <c r="E554" i="1"/>
  <c r="I553" i="1"/>
  <c r="H553" i="1"/>
  <c r="F553" i="1"/>
  <c r="E553" i="1"/>
  <c r="I552" i="1"/>
  <c r="H552" i="1"/>
  <c r="F552" i="1"/>
  <c r="E552" i="1"/>
  <c r="I551" i="1"/>
  <c r="H551" i="1"/>
  <c r="F551" i="1"/>
  <c r="E551" i="1"/>
  <c r="I550" i="1"/>
  <c r="H550" i="1"/>
  <c r="F550" i="1"/>
  <c r="E550" i="1"/>
  <c r="I549" i="1"/>
  <c r="H549" i="1"/>
  <c r="F549" i="1"/>
  <c r="E549" i="1"/>
  <c r="I548" i="1"/>
  <c r="H548" i="1"/>
  <c r="F548" i="1"/>
  <c r="E548" i="1"/>
  <c r="I547" i="1"/>
  <c r="H547" i="1"/>
  <c r="F547" i="1"/>
  <c r="E547" i="1"/>
  <c r="I546" i="1"/>
  <c r="H546" i="1"/>
  <c r="F546" i="1"/>
  <c r="E546" i="1"/>
  <c r="I545" i="1"/>
  <c r="H545" i="1"/>
  <c r="F545" i="1"/>
  <c r="E545" i="1"/>
  <c r="I544" i="1"/>
  <c r="H544" i="1"/>
  <c r="F544" i="1"/>
  <c r="E544" i="1"/>
  <c r="I543" i="1"/>
  <c r="H543" i="1"/>
  <c r="F543" i="1"/>
  <c r="E543" i="1"/>
  <c r="I542" i="1"/>
  <c r="H542" i="1"/>
  <c r="F542" i="1"/>
  <c r="E542" i="1"/>
  <c r="I541" i="1"/>
  <c r="H541" i="1"/>
  <c r="F541" i="1"/>
  <c r="E541" i="1"/>
  <c r="I540" i="1"/>
  <c r="H540" i="1"/>
  <c r="F540" i="1"/>
  <c r="E540" i="1"/>
  <c r="I539" i="1"/>
  <c r="H539" i="1"/>
  <c r="F539" i="1"/>
  <c r="E539" i="1"/>
  <c r="I538" i="1"/>
  <c r="H538" i="1"/>
  <c r="F538" i="1"/>
  <c r="E538" i="1"/>
  <c r="I537" i="1"/>
  <c r="H537" i="1"/>
  <c r="F537" i="1"/>
  <c r="E537" i="1"/>
  <c r="I536" i="1"/>
  <c r="H536" i="1"/>
  <c r="F536" i="1"/>
  <c r="E536" i="1"/>
  <c r="I535" i="1"/>
  <c r="H535" i="1"/>
  <c r="F535" i="1"/>
  <c r="E535" i="1"/>
  <c r="I534" i="1"/>
  <c r="H534" i="1"/>
  <c r="F534" i="1"/>
  <c r="E534" i="1"/>
  <c r="I533" i="1"/>
  <c r="H533" i="1"/>
  <c r="F533" i="1"/>
  <c r="E533" i="1"/>
  <c r="I532" i="1"/>
  <c r="H532" i="1"/>
  <c r="F532" i="1"/>
  <c r="E532" i="1"/>
  <c r="I531" i="1"/>
  <c r="H531" i="1"/>
  <c r="F531" i="1"/>
  <c r="E531" i="1"/>
  <c r="I530" i="1"/>
  <c r="H530" i="1"/>
  <c r="F530" i="1"/>
  <c r="E530" i="1"/>
  <c r="I529" i="1"/>
  <c r="H529" i="1"/>
  <c r="F529" i="1"/>
  <c r="E529" i="1"/>
  <c r="I528" i="1"/>
  <c r="H528" i="1"/>
  <c r="F528" i="1"/>
  <c r="E528" i="1"/>
  <c r="I527" i="1"/>
  <c r="H527" i="1"/>
  <c r="F527" i="1"/>
  <c r="E527" i="1"/>
  <c r="I526" i="1"/>
  <c r="H526" i="1"/>
  <c r="F526" i="1"/>
  <c r="E526" i="1"/>
  <c r="I525" i="1"/>
  <c r="H525" i="1"/>
  <c r="F525" i="1"/>
  <c r="E525" i="1"/>
  <c r="I524" i="1"/>
  <c r="H524" i="1"/>
  <c r="F524" i="1"/>
  <c r="E524" i="1"/>
  <c r="I523" i="1"/>
  <c r="H523" i="1"/>
  <c r="F523" i="1"/>
  <c r="E523" i="1"/>
  <c r="I522" i="1"/>
  <c r="H522" i="1"/>
  <c r="F522" i="1"/>
  <c r="E522" i="1"/>
  <c r="I521" i="1"/>
  <c r="H521" i="1"/>
  <c r="F521" i="1"/>
  <c r="E521" i="1"/>
  <c r="I520" i="1"/>
  <c r="H520" i="1"/>
  <c r="F520" i="1"/>
  <c r="E520" i="1"/>
  <c r="I519" i="1"/>
  <c r="H519" i="1"/>
  <c r="F519" i="1"/>
  <c r="E519" i="1"/>
  <c r="I518" i="1"/>
  <c r="H518" i="1"/>
  <c r="F518" i="1"/>
  <c r="E518" i="1"/>
  <c r="I517" i="1"/>
  <c r="H517" i="1"/>
  <c r="F517" i="1"/>
  <c r="E517" i="1"/>
  <c r="I516" i="1"/>
  <c r="H516" i="1"/>
  <c r="F516" i="1"/>
  <c r="E516" i="1"/>
  <c r="I515" i="1"/>
  <c r="H515" i="1"/>
  <c r="F515" i="1"/>
  <c r="E515" i="1"/>
  <c r="I514" i="1"/>
  <c r="H514" i="1"/>
  <c r="F514" i="1"/>
  <c r="E514" i="1"/>
  <c r="I513" i="1"/>
  <c r="H513" i="1"/>
  <c r="F513" i="1"/>
  <c r="E513" i="1"/>
  <c r="I512" i="1"/>
  <c r="H512" i="1"/>
  <c r="F512" i="1"/>
  <c r="E512" i="1"/>
  <c r="I511" i="1"/>
  <c r="H511" i="1"/>
  <c r="F511" i="1"/>
  <c r="E511" i="1"/>
  <c r="I510" i="1"/>
  <c r="H510" i="1"/>
  <c r="F510" i="1"/>
  <c r="E510" i="1"/>
  <c r="I509" i="1"/>
  <c r="H509" i="1"/>
  <c r="F509" i="1"/>
  <c r="E509" i="1"/>
  <c r="I508" i="1"/>
  <c r="H508" i="1"/>
  <c r="F508" i="1"/>
  <c r="E508" i="1"/>
  <c r="I507" i="1"/>
  <c r="H507" i="1"/>
  <c r="F507" i="1"/>
  <c r="E507" i="1"/>
  <c r="I506" i="1"/>
  <c r="H506" i="1"/>
  <c r="F506" i="1"/>
  <c r="E506" i="1"/>
  <c r="I505" i="1"/>
  <c r="H505" i="1"/>
  <c r="F505" i="1"/>
  <c r="E505" i="1"/>
  <c r="I504" i="1"/>
  <c r="H504" i="1"/>
  <c r="F504" i="1"/>
  <c r="E504" i="1"/>
  <c r="I503" i="1"/>
  <c r="H503" i="1"/>
  <c r="F503" i="1"/>
  <c r="E503" i="1"/>
  <c r="I502" i="1"/>
  <c r="H502" i="1"/>
  <c r="F502" i="1"/>
  <c r="E502" i="1"/>
  <c r="I501" i="1"/>
  <c r="H501" i="1"/>
  <c r="F501" i="1"/>
  <c r="E501" i="1"/>
  <c r="I500" i="1"/>
  <c r="H500" i="1"/>
  <c r="F500" i="1"/>
  <c r="E500" i="1"/>
  <c r="I499" i="1"/>
  <c r="H499" i="1"/>
  <c r="F499" i="1"/>
  <c r="E499" i="1"/>
  <c r="I498" i="1"/>
  <c r="H498" i="1"/>
  <c r="F498" i="1"/>
  <c r="E498" i="1"/>
  <c r="I497" i="1"/>
  <c r="H497" i="1"/>
  <c r="F497" i="1"/>
  <c r="E497" i="1"/>
  <c r="I496" i="1"/>
  <c r="H496" i="1"/>
  <c r="F496" i="1"/>
  <c r="E496" i="1"/>
  <c r="I495" i="1"/>
  <c r="H495" i="1"/>
  <c r="F495" i="1"/>
  <c r="E495" i="1"/>
  <c r="I494" i="1"/>
  <c r="H494" i="1"/>
  <c r="F494" i="1"/>
  <c r="E494" i="1"/>
  <c r="I493" i="1"/>
  <c r="H493" i="1"/>
  <c r="F493" i="1"/>
  <c r="E493" i="1"/>
  <c r="I492" i="1"/>
  <c r="H492" i="1"/>
  <c r="F492" i="1"/>
  <c r="E492" i="1"/>
  <c r="I491" i="1"/>
  <c r="H491" i="1"/>
  <c r="F491" i="1"/>
  <c r="E491" i="1"/>
  <c r="I490" i="1"/>
  <c r="H490" i="1"/>
  <c r="F490" i="1"/>
  <c r="E490" i="1"/>
  <c r="I489" i="1"/>
  <c r="H489" i="1"/>
  <c r="F489" i="1"/>
  <c r="E489" i="1"/>
  <c r="I488" i="1"/>
  <c r="H488" i="1"/>
  <c r="F488" i="1"/>
  <c r="E488" i="1"/>
  <c r="I487" i="1"/>
  <c r="H487" i="1"/>
  <c r="F487" i="1"/>
  <c r="E487" i="1"/>
  <c r="I486" i="1"/>
  <c r="H486" i="1"/>
  <c r="F486" i="1"/>
  <c r="E486" i="1"/>
  <c r="I485" i="1"/>
  <c r="H485" i="1"/>
  <c r="F485" i="1"/>
  <c r="E485" i="1"/>
  <c r="I484" i="1"/>
  <c r="H484" i="1"/>
  <c r="F484" i="1"/>
  <c r="E484" i="1"/>
  <c r="I483" i="1"/>
  <c r="H483" i="1"/>
  <c r="F483" i="1"/>
  <c r="E483" i="1"/>
  <c r="I482" i="1"/>
  <c r="H482" i="1"/>
  <c r="F482" i="1"/>
  <c r="E482" i="1"/>
  <c r="I481" i="1"/>
  <c r="H481" i="1"/>
  <c r="F481" i="1"/>
  <c r="E481" i="1"/>
  <c r="I480" i="1"/>
  <c r="H480" i="1"/>
  <c r="F480" i="1"/>
  <c r="E480" i="1"/>
  <c r="I479" i="1"/>
  <c r="H479" i="1"/>
  <c r="F479" i="1"/>
  <c r="E479" i="1"/>
  <c r="I478" i="1"/>
  <c r="H478" i="1"/>
  <c r="F478" i="1"/>
  <c r="E478" i="1"/>
  <c r="I477" i="1"/>
  <c r="H477" i="1"/>
  <c r="F477" i="1"/>
  <c r="E477" i="1"/>
  <c r="I476" i="1"/>
  <c r="H476" i="1"/>
  <c r="F476" i="1"/>
  <c r="E476" i="1"/>
  <c r="I475" i="1"/>
  <c r="H475" i="1"/>
  <c r="F475" i="1"/>
  <c r="E475" i="1"/>
  <c r="I474" i="1"/>
  <c r="H474" i="1"/>
  <c r="F474" i="1"/>
  <c r="E474" i="1"/>
  <c r="I473" i="1"/>
  <c r="H473" i="1"/>
  <c r="F473" i="1"/>
  <c r="E473" i="1"/>
  <c r="I472" i="1"/>
  <c r="H472" i="1"/>
  <c r="F472" i="1"/>
  <c r="E472" i="1"/>
  <c r="I471" i="1"/>
  <c r="H471" i="1"/>
  <c r="F471" i="1"/>
  <c r="E471" i="1"/>
  <c r="I470" i="1"/>
  <c r="H470" i="1"/>
  <c r="F470" i="1"/>
  <c r="E470" i="1"/>
  <c r="I469" i="1"/>
  <c r="H469" i="1"/>
  <c r="F469" i="1"/>
  <c r="E469" i="1"/>
  <c r="I468" i="1"/>
  <c r="H468" i="1"/>
  <c r="F468" i="1"/>
  <c r="E468" i="1"/>
  <c r="I467" i="1"/>
  <c r="H467" i="1"/>
  <c r="F467" i="1"/>
  <c r="E467" i="1"/>
  <c r="I466" i="1"/>
  <c r="H466" i="1"/>
  <c r="F466" i="1"/>
  <c r="E466" i="1"/>
  <c r="I465" i="1"/>
  <c r="H465" i="1"/>
  <c r="F465" i="1"/>
  <c r="E465" i="1"/>
  <c r="I464" i="1"/>
  <c r="H464" i="1"/>
  <c r="F464" i="1"/>
  <c r="E464" i="1"/>
  <c r="I463" i="1"/>
  <c r="H463" i="1"/>
  <c r="F463" i="1"/>
  <c r="E463" i="1"/>
  <c r="I462" i="1"/>
  <c r="H462" i="1"/>
  <c r="F462" i="1"/>
  <c r="E462" i="1"/>
  <c r="I461" i="1"/>
  <c r="H461" i="1"/>
  <c r="F461" i="1"/>
  <c r="E461" i="1"/>
  <c r="I460" i="1"/>
  <c r="H460" i="1"/>
  <c r="F460" i="1"/>
  <c r="E460" i="1"/>
  <c r="I459" i="1"/>
  <c r="H459" i="1"/>
  <c r="F459" i="1"/>
  <c r="E459" i="1"/>
  <c r="I458" i="1"/>
  <c r="H458" i="1"/>
  <c r="F458" i="1"/>
  <c r="E458" i="1"/>
  <c r="I457" i="1"/>
  <c r="H457" i="1"/>
  <c r="F457" i="1"/>
  <c r="E457" i="1"/>
  <c r="I456" i="1"/>
  <c r="H456" i="1"/>
  <c r="F456" i="1"/>
  <c r="E456" i="1"/>
  <c r="I455" i="1"/>
  <c r="H455" i="1"/>
  <c r="F455" i="1"/>
  <c r="E455" i="1"/>
  <c r="I454" i="1"/>
  <c r="H454" i="1"/>
  <c r="F454" i="1"/>
  <c r="E454" i="1"/>
  <c r="I453" i="1"/>
  <c r="H453" i="1"/>
  <c r="F453" i="1"/>
  <c r="E453" i="1"/>
  <c r="I452" i="1"/>
  <c r="H452" i="1"/>
  <c r="F452" i="1"/>
  <c r="E452" i="1"/>
  <c r="I451" i="1"/>
  <c r="H451" i="1"/>
  <c r="F451" i="1"/>
  <c r="E451" i="1"/>
  <c r="I450" i="1"/>
  <c r="H450" i="1"/>
  <c r="F450" i="1"/>
  <c r="E450" i="1"/>
  <c r="I449" i="1"/>
  <c r="H449" i="1"/>
  <c r="F449" i="1"/>
  <c r="E449" i="1"/>
  <c r="I448" i="1"/>
  <c r="H448" i="1"/>
  <c r="F448" i="1"/>
  <c r="E448" i="1"/>
  <c r="I447" i="1"/>
  <c r="H447" i="1"/>
  <c r="F447" i="1"/>
  <c r="E447" i="1"/>
  <c r="I446" i="1"/>
  <c r="H446" i="1"/>
  <c r="F446" i="1"/>
  <c r="E446" i="1"/>
  <c r="I445" i="1"/>
  <c r="H445" i="1"/>
  <c r="F445" i="1"/>
  <c r="E445" i="1"/>
  <c r="I444" i="1"/>
  <c r="H444" i="1"/>
  <c r="F444" i="1"/>
  <c r="E444" i="1"/>
  <c r="I443" i="1"/>
  <c r="H443" i="1"/>
  <c r="F443" i="1"/>
  <c r="E443" i="1"/>
  <c r="I442" i="1"/>
  <c r="H442" i="1"/>
  <c r="F442" i="1"/>
  <c r="E442" i="1"/>
  <c r="I441" i="1"/>
  <c r="H441" i="1"/>
  <c r="F441" i="1"/>
  <c r="E441" i="1"/>
  <c r="I440" i="1"/>
  <c r="H440" i="1"/>
  <c r="F440" i="1"/>
  <c r="E440" i="1"/>
  <c r="I439" i="1"/>
  <c r="H439" i="1"/>
  <c r="F439" i="1"/>
  <c r="E439" i="1"/>
  <c r="I438" i="1"/>
  <c r="H438" i="1"/>
  <c r="F438" i="1"/>
  <c r="E438" i="1"/>
  <c r="I437" i="1"/>
  <c r="H437" i="1"/>
  <c r="F437" i="1"/>
  <c r="E437" i="1"/>
  <c r="I436" i="1"/>
  <c r="H436" i="1"/>
  <c r="F436" i="1"/>
  <c r="E436" i="1"/>
  <c r="I435" i="1"/>
  <c r="H435" i="1"/>
  <c r="F435" i="1"/>
  <c r="E435" i="1"/>
  <c r="I434" i="1"/>
  <c r="H434" i="1"/>
  <c r="F434" i="1"/>
  <c r="E434" i="1"/>
  <c r="I433" i="1"/>
  <c r="H433" i="1"/>
  <c r="F433" i="1"/>
  <c r="E433" i="1"/>
  <c r="I432" i="1"/>
  <c r="H432" i="1"/>
  <c r="F432" i="1"/>
  <c r="E432" i="1"/>
  <c r="I431" i="1"/>
  <c r="H431" i="1"/>
  <c r="F431" i="1"/>
  <c r="E431" i="1"/>
  <c r="I430" i="1"/>
  <c r="H430" i="1"/>
  <c r="F430" i="1"/>
  <c r="E430" i="1"/>
  <c r="I429" i="1"/>
  <c r="H429" i="1"/>
  <c r="F429" i="1"/>
  <c r="E429" i="1"/>
  <c r="I428" i="1"/>
  <c r="H428" i="1"/>
  <c r="F428" i="1"/>
  <c r="E428" i="1"/>
  <c r="I427" i="1"/>
  <c r="H427" i="1"/>
  <c r="F427" i="1"/>
  <c r="E427" i="1"/>
  <c r="I426" i="1"/>
  <c r="H426" i="1"/>
  <c r="F426" i="1"/>
  <c r="E426" i="1"/>
  <c r="I425" i="1"/>
  <c r="H425" i="1"/>
  <c r="F425" i="1"/>
  <c r="E425" i="1"/>
  <c r="I424" i="1"/>
  <c r="H424" i="1"/>
  <c r="F424" i="1"/>
  <c r="E424" i="1"/>
  <c r="I423" i="1"/>
  <c r="H423" i="1"/>
  <c r="F423" i="1"/>
  <c r="E423" i="1"/>
  <c r="I422" i="1"/>
  <c r="H422" i="1"/>
  <c r="F422" i="1"/>
  <c r="E422" i="1"/>
  <c r="I421" i="1"/>
  <c r="H421" i="1"/>
  <c r="F421" i="1"/>
  <c r="E421" i="1"/>
  <c r="I420" i="1"/>
  <c r="H420" i="1"/>
  <c r="F420" i="1"/>
  <c r="E420" i="1"/>
  <c r="I419" i="1"/>
  <c r="H419" i="1"/>
  <c r="F419" i="1"/>
  <c r="E419" i="1"/>
  <c r="I418" i="1"/>
  <c r="H418" i="1"/>
  <c r="F418" i="1"/>
  <c r="E418" i="1"/>
  <c r="I417" i="1"/>
  <c r="H417" i="1"/>
  <c r="F417" i="1"/>
  <c r="E417" i="1"/>
  <c r="I416" i="1"/>
  <c r="H416" i="1"/>
  <c r="F416" i="1"/>
  <c r="E416" i="1"/>
  <c r="I415" i="1"/>
  <c r="H415" i="1"/>
  <c r="F415" i="1"/>
  <c r="E415" i="1"/>
  <c r="I414" i="1"/>
  <c r="H414" i="1"/>
  <c r="F414" i="1"/>
  <c r="E414" i="1"/>
  <c r="I413" i="1"/>
  <c r="H413" i="1"/>
  <c r="F413" i="1"/>
  <c r="E413" i="1"/>
  <c r="I412" i="1"/>
  <c r="H412" i="1"/>
  <c r="F412" i="1"/>
  <c r="E412" i="1"/>
  <c r="I411" i="1"/>
  <c r="H411" i="1"/>
  <c r="F411" i="1"/>
  <c r="E411" i="1"/>
  <c r="I410" i="1"/>
  <c r="H410" i="1"/>
  <c r="F410" i="1"/>
  <c r="E410" i="1"/>
  <c r="I409" i="1"/>
  <c r="H409" i="1"/>
  <c r="F409" i="1"/>
  <c r="E409" i="1"/>
  <c r="I408" i="1"/>
  <c r="H408" i="1"/>
  <c r="F408" i="1"/>
  <c r="E408" i="1"/>
  <c r="I407" i="1"/>
  <c r="H407" i="1"/>
  <c r="F407" i="1"/>
  <c r="E407" i="1"/>
  <c r="I406" i="1"/>
  <c r="H406" i="1"/>
  <c r="F406" i="1"/>
  <c r="E406" i="1"/>
  <c r="I405" i="1"/>
  <c r="H405" i="1"/>
  <c r="F405" i="1"/>
  <c r="E405" i="1"/>
  <c r="I404" i="1"/>
  <c r="H404" i="1"/>
  <c r="F404" i="1"/>
  <c r="E404" i="1"/>
  <c r="I403" i="1"/>
  <c r="H403" i="1"/>
  <c r="F403" i="1"/>
  <c r="E403" i="1"/>
  <c r="I402" i="1"/>
  <c r="H402" i="1"/>
  <c r="F402" i="1"/>
  <c r="E402" i="1"/>
  <c r="I401" i="1"/>
  <c r="H401" i="1"/>
  <c r="F401" i="1"/>
  <c r="E401" i="1"/>
  <c r="I400" i="1"/>
  <c r="H400" i="1"/>
  <c r="F400" i="1"/>
  <c r="E400" i="1"/>
  <c r="I399" i="1"/>
  <c r="H399" i="1"/>
  <c r="F399" i="1"/>
  <c r="E399" i="1"/>
  <c r="I398" i="1"/>
  <c r="H398" i="1"/>
  <c r="F398" i="1"/>
  <c r="E398" i="1"/>
  <c r="I397" i="1"/>
  <c r="H397" i="1"/>
  <c r="F397" i="1"/>
  <c r="E397" i="1"/>
  <c r="I396" i="1"/>
  <c r="H396" i="1"/>
  <c r="F396" i="1"/>
  <c r="E396" i="1"/>
  <c r="I395" i="1"/>
  <c r="H395" i="1"/>
  <c r="F395" i="1"/>
  <c r="E395" i="1"/>
  <c r="I394" i="1"/>
  <c r="H394" i="1"/>
  <c r="F394" i="1"/>
  <c r="E394" i="1"/>
  <c r="I393" i="1"/>
  <c r="H393" i="1"/>
  <c r="F393" i="1"/>
  <c r="E393" i="1"/>
  <c r="I392" i="1"/>
  <c r="H392" i="1"/>
  <c r="F392" i="1"/>
  <c r="E392" i="1"/>
  <c r="I391" i="1"/>
  <c r="H391" i="1"/>
  <c r="F391" i="1"/>
  <c r="E391" i="1"/>
  <c r="I390" i="1"/>
  <c r="H390" i="1"/>
  <c r="F390" i="1"/>
  <c r="E390" i="1"/>
  <c r="I389" i="1"/>
  <c r="H389" i="1"/>
  <c r="F389" i="1"/>
  <c r="E389" i="1"/>
  <c r="I388" i="1"/>
  <c r="H388" i="1"/>
  <c r="F388" i="1"/>
  <c r="E388" i="1"/>
  <c r="I387" i="1"/>
  <c r="H387" i="1"/>
  <c r="F387" i="1"/>
  <c r="E387" i="1"/>
  <c r="I386" i="1"/>
  <c r="H386" i="1"/>
  <c r="F386" i="1"/>
  <c r="E386" i="1"/>
  <c r="I385" i="1"/>
  <c r="H385" i="1"/>
  <c r="F385" i="1"/>
  <c r="E385" i="1"/>
  <c r="I384" i="1"/>
  <c r="H384" i="1"/>
  <c r="F384" i="1"/>
  <c r="E384" i="1"/>
  <c r="I383" i="1"/>
  <c r="H383" i="1"/>
  <c r="F383" i="1"/>
  <c r="E383" i="1"/>
  <c r="I382" i="1"/>
  <c r="H382" i="1"/>
  <c r="F382" i="1"/>
  <c r="E382" i="1"/>
  <c r="I381" i="1"/>
  <c r="H381" i="1"/>
  <c r="F381" i="1"/>
  <c r="E381" i="1"/>
  <c r="I380" i="1"/>
  <c r="H380" i="1"/>
  <c r="F380" i="1"/>
  <c r="E380" i="1"/>
  <c r="I379" i="1"/>
  <c r="H379" i="1"/>
  <c r="F379" i="1"/>
  <c r="E379" i="1"/>
  <c r="I378" i="1"/>
  <c r="H378" i="1"/>
  <c r="F378" i="1"/>
  <c r="E378" i="1"/>
  <c r="I377" i="1"/>
  <c r="H377" i="1"/>
  <c r="F377" i="1"/>
  <c r="E377" i="1"/>
  <c r="I376" i="1"/>
  <c r="H376" i="1"/>
  <c r="F376" i="1"/>
  <c r="E376" i="1"/>
  <c r="I375" i="1"/>
  <c r="H375" i="1"/>
  <c r="F375" i="1"/>
  <c r="E375" i="1"/>
  <c r="I374" i="1"/>
  <c r="H374" i="1"/>
  <c r="F374" i="1"/>
  <c r="E374" i="1"/>
  <c r="I373" i="1"/>
  <c r="H373" i="1"/>
  <c r="F373" i="1"/>
  <c r="E373" i="1"/>
  <c r="I372" i="1"/>
  <c r="H372" i="1"/>
  <c r="F372" i="1"/>
  <c r="E372" i="1"/>
  <c r="I371" i="1"/>
  <c r="H371" i="1"/>
  <c r="F371" i="1"/>
  <c r="E371" i="1"/>
  <c r="I370" i="1"/>
  <c r="H370" i="1"/>
  <c r="F370" i="1"/>
  <c r="E370" i="1"/>
  <c r="I369" i="1"/>
  <c r="H369" i="1"/>
  <c r="F369" i="1"/>
  <c r="E369" i="1"/>
  <c r="I368" i="1"/>
  <c r="H368" i="1"/>
  <c r="F368" i="1"/>
  <c r="E368" i="1"/>
  <c r="I367" i="1"/>
  <c r="H367" i="1"/>
  <c r="F367" i="1"/>
  <c r="E367" i="1"/>
  <c r="I366" i="1"/>
  <c r="H366" i="1"/>
  <c r="F366" i="1"/>
  <c r="E366" i="1"/>
  <c r="I365" i="1"/>
  <c r="H365" i="1"/>
  <c r="F365" i="1"/>
  <c r="E365" i="1"/>
  <c r="I364" i="1"/>
  <c r="H364" i="1"/>
  <c r="F364" i="1"/>
  <c r="E364" i="1"/>
  <c r="I363" i="1"/>
  <c r="H363" i="1"/>
  <c r="F363" i="1"/>
  <c r="E363" i="1"/>
  <c r="I362" i="1"/>
  <c r="H362" i="1"/>
  <c r="F362" i="1"/>
  <c r="E362" i="1"/>
  <c r="I361" i="1"/>
  <c r="H361" i="1"/>
  <c r="F361" i="1"/>
  <c r="E361" i="1"/>
  <c r="I360" i="1"/>
  <c r="H360" i="1"/>
  <c r="F360" i="1"/>
  <c r="E360" i="1"/>
  <c r="I359" i="1"/>
  <c r="H359" i="1"/>
  <c r="F359" i="1"/>
  <c r="E359" i="1"/>
  <c r="I358" i="1"/>
  <c r="H358" i="1"/>
  <c r="F358" i="1"/>
  <c r="E358" i="1"/>
  <c r="I357" i="1"/>
  <c r="H357" i="1"/>
  <c r="F357" i="1"/>
  <c r="E357" i="1"/>
  <c r="I356" i="1"/>
  <c r="H356" i="1"/>
  <c r="F356" i="1"/>
  <c r="E356" i="1"/>
  <c r="I355" i="1"/>
  <c r="H355" i="1"/>
  <c r="F355" i="1"/>
  <c r="E355" i="1"/>
  <c r="I354" i="1"/>
  <c r="H354" i="1"/>
  <c r="F354" i="1"/>
  <c r="E354" i="1"/>
  <c r="I353" i="1"/>
  <c r="H353" i="1"/>
  <c r="F353" i="1"/>
  <c r="E353" i="1"/>
  <c r="I352" i="1"/>
  <c r="H352" i="1"/>
  <c r="F352" i="1"/>
  <c r="E352" i="1"/>
  <c r="I351" i="1"/>
  <c r="H351" i="1"/>
  <c r="F351" i="1"/>
  <c r="E351" i="1"/>
  <c r="I350" i="1"/>
  <c r="H350" i="1"/>
  <c r="F350" i="1"/>
  <c r="E350" i="1"/>
  <c r="I349" i="1"/>
  <c r="H349" i="1"/>
  <c r="F349" i="1"/>
  <c r="E349" i="1"/>
  <c r="I348" i="1"/>
  <c r="H348" i="1"/>
  <c r="F348" i="1"/>
  <c r="E348" i="1"/>
  <c r="I347" i="1"/>
  <c r="H347" i="1"/>
  <c r="F347" i="1"/>
  <c r="E347" i="1"/>
  <c r="I346" i="1"/>
  <c r="H346" i="1"/>
  <c r="F346" i="1"/>
  <c r="E346" i="1"/>
  <c r="I345" i="1"/>
  <c r="H345" i="1"/>
  <c r="F345" i="1"/>
  <c r="E345" i="1"/>
  <c r="I344" i="1"/>
  <c r="H344" i="1"/>
  <c r="F344" i="1"/>
  <c r="E344" i="1"/>
  <c r="I343" i="1"/>
  <c r="H343" i="1"/>
  <c r="F343" i="1"/>
  <c r="E343" i="1"/>
  <c r="I342" i="1"/>
  <c r="H342" i="1"/>
  <c r="F342" i="1"/>
  <c r="E342" i="1"/>
  <c r="I341" i="1"/>
  <c r="H341" i="1"/>
  <c r="F341" i="1"/>
  <c r="E341" i="1"/>
  <c r="I340" i="1"/>
  <c r="H340" i="1"/>
  <c r="F340" i="1"/>
  <c r="E340" i="1"/>
  <c r="I339" i="1"/>
  <c r="H339" i="1"/>
  <c r="F339" i="1"/>
  <c r="E339" i="1"/>
  <c r="I338" i="1"/>
  <c r="H338" i="1"/>
  <c r="F338" i="1"/>
  <c r="E338" i="1"/>
  <c r="I337" i="1"/>
  <c r="H337" i="1"/>
  <c r="F337" i="1"/>
  <c r="E337" i="1"/>
  <c r="I336" i="1"/>
  <c r="H336" i="1"/>
  <c r="F336" i="1"/>
  <c r="E336" i="1"/>
  <c r="I335" i="1"/>
  <c r="H335" i="1"/>
  <c r="F335" i="1"/>
  <c r="E335" i="1"/>
  <c r="I334" i="1"/>
  <c r="H334" i="1"/>
  <c r="F334" i="1"/>
  <c r="E334" i="1"/>
  <c r="I333" i="1"/>
  <c r="H333" i="1"/>
  <c r="F333" i="1"/>
  <c r="E333" i="1"/>
  <c r="I332" i="1"/>
  <c r="H332" i="1"/>
  <c r="F332" i="1"/>
  <c r="E332" i="1"/>
  <c r="I331" i="1"/>
  <c r="H331" i="1"/>
  <c r="F331" i="1"/>
  <c r="E331" i="1"/>
  <c r="I330" i="1"/>
  <c r="H330" i="1"/>
  <c r="F330" i="1"/>
  <c r="E330" i="1"/>
  <c r="I329" i="1"/>
  <c r="H329" i="1"/>
  <c r="F329" i="1"/>
  <c r="E329" i="1"/>
  <c r="I328" i="1"/>
  <c r="H328" i="1"/>
  <c r="F328" i="1"/>
  <c r="E328" i="1"/>
  <c r="I327" i="1"/>
  <c r="H327" i="1"/>
  <c r="F327" i="1"/>
  <c r="E327" i="1"/>
  <c r="I326" i="1"/>
  <c r="H326" i="1"/>
  <c r="F326" i="1"/>
  <c r="E326" i="1"/>
  <c r="I325" i="1"/>
  <c r="H325" i="1"/>
  <c r="F325" i="1"/>
  <c r="E325" i="1"/>
  <c r="I324" i="1"/>
  <c r="H324" i="1"/>
  <c r="F324" i="1"/>
  <c r="E324" i="1"/>
  <c r="I323" i="1"/>
  <c r="H323" i="1"/>
  <c r="F323" i="1"/>
  <c r="E323" i="1"/>
  <c r="I322" i="1"/>
  <c r="H322" i="1"/>
  <c r="F322" i="1"/>
  <c r="E322" i="1"/>
  <c r="I321" i="1"/>
  <c r="H321" i="1"/>
  <c r="F321" i="1"/>
  <c r="E321" i="1"/>
  <c r="I320" i="1"/>
  <c r="H320" i="1"/>
  <c r="F320" i="1"/>
  <c r="E320" i="1"/>
  <c r="I319" i="1"/>
  <c r="H319" i="1"/>
  <c r="F319" i="1"/>
  <c r="E319" i="1"/>
  <c r="I318" i="1"/>
  <c r="H318" i="1"/>
  <c r="F318" i="1"/>
  <c r="E318" i="1"/>
  <c r="I317" i="1"/>
  <c r="H317" i="1"/>
  <c r="F317" i="1"/>
  <c r="E317" i="1"/>
  <c r="I316" i="1"/>
  <c r="H316" i="1"/>
  <c r="F316" i="1"/>
  <c r="E316" i="1"/>
  <c r="I315" i="1"/>
  <c r="H315" i="1"/>
  <c r="F315" i="1"/>
  <c r="E315" i="1"/>
  <c r="I314" i="1"/>
  <c r="H314" i="1"/>
  <c r="F314" i="1"/>
  <c r="E314" i="1"/>
  <c r="I313" i="1"/>
  <c r="H313" i="1"/>
  <c r="F313" i="1"/>
  <c r="E313" i="1"/>
  <c r="I312" i="1"/>
  <c r="H312" i="1"/>
  <c r="F312" i="1"/>
  <c r="E312" i="1"/>
  <c r="I311" i="1"/>
  <c r="H311" i="1"/>
  <c r="F311" i="1"/>
  <c r="E311" i="1"/>
  <c r="I310" i="1"/>
  <c r="H310" i="1"/>
  <c r="F310" i="1"/>
  <c r="E310" i="1"/>
  <c r="I309" i="1"/>
  <c r="H309" i="1"/>
  <c r="F309" i="1"/>
  <c r="E309" i="1"/>
  <c r="I308" i="1"/>
  <c r="H308" i="1"/>
  <c r="F308" i="1"/>
  <c r="E308" i="1"/>
  <c r="I307" i="1"/>
  <c r="H307" i="1"/>
  <c r="F307" i="1"/>
  <c r="E307" i="1"/>
  <c r="I306" i="1"/>
  <c r="H306" i="1"/>
  <c r="F306" i="1"/>
  <c r="E306" i="1"/>
  <c r="I305" i="1"/>
  <c r="H305" i="1"/>
  <c r="F305" i="1"/>
  <c r="E305" i="1"/>
  <c r="I304" i="1"/>
  <c r="H304" i="1"/>
  <c r="F304" i="1"/>
  <c r="E304" i="1"/>
  <c r="I303" i="1"/>
  <c r="H303" i="1"/>
  <c r="F303" i="1"/>
  <c r="E303" i="1"/>
  <c r="I302" i="1"/>
  <c r="H302" i="1"/>
  <c r="F302" i="1"/>
  <c r="E302" i="1"/>
  <c r="I301" i="1"/>
  <c r="H301" i="1"/>
  <c r="F301" i="1"/>
  <c r="E301" i="1"/>
  <c r="I300" i="1"/>
  <c r="H300" i="1"/>
  <c r="F300" i="1"/>
  <c r="E300" i="1"/>
  <c r="I299" i="1"/>
  <c r="H299" i="1"/>
  <c r="F299" i="1"/>
  <c r="E299" i="1"/>
  <c r="I298" i="1"/>
  <c r="H298" i="1"/>
  <c r="F298" i="1"/>
  <c r="E298" i="1"/>
  <c r="I297" i="1"/>
  <c r="H297" i="1"/>
  <c r="F297" i="1"/>
  <c r="E297" i="1"/>
  <c r="I296" i="1"/>
  <c r="H296" i="1"/>
  <c r="F296" i="1"/>
  <c r="E296" i="1"/>
  <c r="I295" i="1"/>
  <c r="H295" i="1"/>
  <c r="F295" i="1"/>
  <c r="E295" i="1"/>
  <c r="I294" i="1"/>
  <c r="H294" i="1"/>
  <c r="F294" i="1"/>
  <c r="E294" i="1"/>
  <c r="I293" i="1"/>
  <c r="H293" i="1"/>
  <c r="F293" i="1"/>
  <c r="E293" i="1"/>
  <c r="I292" i="1"/>
  <c r="H292" i="1"/>
  <c r="F292" i="1"/>
  <c r="E292" i="1"/>
  <c r="I291" i="1"/>
  <c r="H291" i="1"/>
  <c r="F291" i="1"/>
  <c r="E291" i="1"/>
  <c r="I290" i="1"/>
  <c r="H290" i="1"/>
  <c r="F290" i="1"/>
  <c r="E290" i="1"/>
  <c r="I289" i="1"/>
  <c r="H289" i="1"/>
  <c r="F289" i="1"/>
  <c r="E289" i="1"/>
  <c r="I288" i="1"/>
  <c r="H288" i="1"/>
  <c r="F288" i="1"/>
  <c r="E288" i="1"/>
  <c r="I287" i="1"/>
  <c r="H287" i="1"/>
  <c r="F287" i="1"/>
  <c r="E287" i="1"/>
  <c r="I286" i="1"/>
  <c r="H286" i="1"/>
  <c r="F286" i="1"/>
  <c r="E286" i="1"/>
  <c r="I285" i="1"/>
  <c r="H285" i="1"/>
  <c r="F285" i="1"/>
  <c r="E285" i="1"/>
  <c r="I284" i="1"/>
  <c r="H284" i="1"/>
  <c r="F284" i="1"/>
  <c r="E284" i="1"/>
  <c r="I283" i="1"/>
  <c r="H283" i="1"/>
  <c r="F283" i="1"/>
  <c r="E283" i="1"/>
  <c r="I282" i="1"/>
  <c r="H282" i="1"/>
  <c r="F282" i="1"/>
  <c r="E282" i="1"/>
  <c r="I281" i="1"/>
  <c r="H281" i="1"/>
  <c r="F281" i="1"/>
  <c r="E281" i="1"/>
  <c r="I280" i="1"/>
  <c r="H280" i="1"/>
  <c r="F280" i="1"/>
  <c r="E280" i="1"/>
  <c r="I279" i="1"/>
  <c r="H279" i="1"/>
  <c r="F279" i="1"/>
  <c r="E279" i="1"/>
  <c r="I278" i="1"/>
  <c r="H278" i="1"/>
  <c r="F278" i="1"/>
  <c r="E278" i="1"/>
  <c r="I277" i="1"/>
  <c r="H277" i="1"/>
  <c r="F277" i="1"/>
  <c r="E277" i="1"/>
  <c r="I276" i="1"/>
  <c r="H276" i="1"/>
  <c r="F276" i="1"/>
  <c r="E276" i="1"/>
  <c r="I275" i="1"/>
  <c r="H275" i="1"/>
  <c r="F275" i="1"/>
  <c r="E275" i="1"/>
  <c r="I274" i="1"/>
  <c r="H274" i="1"/>
  <c r="F274" i="1"/>
  <c r="E274" i="1"/>
  <c r="I273" i="1"/>
  <c r="H273" i="1"/>
  <c r="F273" i="1"/>
  <c r="E273" i="1"/>
  <c r="I272" i="1"/>
  <c r="H272" i="1"/>
  <c r="F272" i="1"/>
  <c r="E272" i="1"/>
  <c r="I271" i="1"/>
  <c r="H271" i="1"/>
  <c r="F271" i="1"/>
  <c r="E271" i="1"/>
  <c r="I270" i="1"/>
  <c r="H270" i="1"/>
  <c r="F270" i="1"/>
  <c r="E270" i="1"/>
  <c r="I269" i="1"/>
  <c r="H269" i="1"/>
  <c r="F269" i="1"/>
  <c r="E269" i="1"/>
  <c r="I268" i="1"/>
  <c r="H268" i="1"/>
  <c r="F268" i="1"/>
  <c r="E268" i="1"/>
  <c r="I267" i="1"/>
  <c r="H267" i="1"/>
  <c r="F267" i="1"/>
  <c r="E267" i="1"/>
  <c r="I266" i="1"/>
  <c r="H266" i="1"/>
  <c r="F266" i="1"/>
  <c r="E266" i="1"/>
  <c r="I265" i="1"/>
  <c r="H265" i="1"/>
  <c r="F265" i="1"/>
  <c r="E265" i="1"/>
  <c r="I264" i="1"/>
  <c r="H264" i="1"/>
  <c r="F264" i="1"/>
  <c r="E264" i="1"/>
  <c r="I263" i="1"/>
  <c r="H263" i="1"/>
  <c r="F263" i="1"/>
  <c r="E263" i="1"/>
  <c r="I262" i="1"/>
  <c r="H262" i="1"/>
  <c r="F262" i="1"/>
  <c r="E262" i="1"/>
  <c r="I261" i="1"/>
  <c r="H261" i="1"/>
  <c r="F261" i="1"/>
  <c r="E261" i="1"/>
  <c r="I260" i="1"/>
  <c r="H260" i="1"/>
  <c r="F260" i="1"/>
  <c r="E260" i="1"/>
  <c r="I259" i="1"/>
  <c r="H259" i="1"/>
  <c r="F259" i="1"/>
  <c r="E259" i="1"/>
  <c r="I258" i="1"/>
  <c r="H258" i="1"/>
  <c r="F258" i="1"/>
  <c r="E258" i="1"/>
  <c r="I257" i="1"/>
  <c r="H257" i="1"/>
  <c r="F257" i="1"/>
  <c r="E257" i="1"/>
  <c r="I256" i="1"/>
  <c r="H256" i="1"/>
  <c r="F256" i="1"/>
  <c r="E256" i="1"/>
  <c r="I255" i="1"/>
  <c r="H255" i="1"/>
  <c r="F255" i="1"/>
  <c r="E255" i="1"/>
  <c r="I254" i="1"/>
  <c r="H254" i="1"/>
  <c r="F254" i="1"/>
  <c r="E254" i="1"/>
  <c r="I253" i="1"/>
  <c r="H253" i="1"/>
  <c r="F253" i="1"/>
  <c r="E253" i="1"/>
  <c r="I252" i="1"/>
  <c r="H252" i="1"/>
  <c r="F252" i="1"/>
  <c r="E252" i="1"/>
  <c r="I251" i="1"/>
  <c r="H251" i="1"/>
  <c r="F251" i="1"/>
  <c r="E251" i="1"/>
  <c r="I250" i="1"/>
  <c r="H250" i="1"/>
  <c r="F250" i="1"/>
  <c r="E250" i="1"/>
  <c r="I249" i="1"/>
  <c r="H249" i="1"/>
  <c r="F249" i="1"/>
  <c r="E249" i="1"/>
  <c r="I248" i="1"/>
  <c r="H248" i="1"/>
  <c r="F248" i="1"/>
  <c r="E248" i="1"/>
  <c r="I247" i="1"/>
  <c r="H247" i="1"/>
  <c r="F247" i="1"/>
  <c r="E247" i="1"/>
  <c r="I246" i="1"/>
  <c r="H246" i="1"/>
  <c r="F246" i="1"/>
  <c r="E246" i="1"/>
  <c r="I245" i="1"/>
  <c r="H245" i="1"/>
  <c r="F245" i="1"/>
  <c r="E245" i="1"/>
  <c r="I244" i="1"/>
  <c r="H244" i="1"/>
  <c r="F244" i="1"/>
  <c r="E244" i="1"/>
  <c r="I243" i="1"/>
  <c r="H243" i="1"/>
  <c r="F243" i="1"/>
  <c r="E243" i="1"/>
  <c r="I242" i="1"/>
  <c r="H242" i="1"/>
  <c r="F242" i="1"/>
  <c r="E242" i="1"/>
  <c r="I241" i="1"/>
  <c r="H241" i="1"/>
  <c r="F241" i="1"/>
  <c r="E241" i="1"/>
  <c r="I240" i="1"/>
  <c r="H240" i="1"/>
  <c r="F240" i="1"/>
  <c r="E240" i="1"/>
  <c r="I239" i="1"/>
  <c r="H239" i="1"/>
  <c r="F239" i="1"/>
  <c r="E239" i="1"/>
  <c r="I238" i="1"/>
  <c r="H238" i="1"/>
  <c r="F238" i="1"/>
  <c r="E238" i="1"/>
  <c r="I237" i="1"/>
  <c r="H237" i="1"/>
  <c r="F237" i="1"/>
  <c r="E237" i="1"/>
  <c r="I236" i="1"/>
  <c r="H236" i="1"/>
  <c r="F236" i="1"/>
  <c r="E236" i="1"/>
  <c r="I235" i="1"/>
  <c r="H235" i="1"/>
  <c r="F235" i="1"/>
  <c r="E235" i="1"/>
  <c r="I234" i="1"/>
  <c r="H234" i="1"/>
  <c r="F234" i="1"/>
  <c r="E234" i="1"/>
  <c r="I233" i="1"/>
  <c r="H233" i="1"/>
  <c r="F233" i="1"/>
  <c r="E233" i="1"/>
  <c r="I232" i="1"/>
  <c r="H232" i="1"/>
  <c r="F232" i="1"/>
  <c r="E232" i="1"/>
  <c r="I231" i="1"/>
  <c r="H231" i="1"/>
  <c r="F231" i="1"/>
  <c r="E231" i="1"/>
  <c r="I230" i="1"/>
  <c r="H230" i="1"/>
  <c r="F230" i="1"/>
  <c r="E230" i="1"/>
  <c r="I229" i="1"/>
  <c r="H229" i="1"/>
  <c r="F229" i="1"/>
  <c r="E229" i="1"/>
  <c r="I228" i="1"/>
  <c r="H228" i="1"/>
  <c r="F228" i="1"/>
  <c r="E228" i="1"/>
  <c r="I227" i="1"/>
  <c r="H227" i="1"/>
  <c r="F227" i="1"/>
  <c r="E227" i="1"/>
  <c r="I226" i="1"/>
  <c r="H226" i="1"/>
  <c r="F226" i="1"/>
  <c r="E226" i="1"/>
  <c r="I225" i="1"/>
  <c r="H225" i="1"/>
  <c r="F225" i="1"/>
  <c r="E225" i="1"/>
  <c r="I224" i="1"/>
  <c r="H224" i="1"/>
  <c r="F224" i="1"/>
  <c r="E224" i="1"/>
  <c r="I223" i="1"/>
  <c r="H223" i="1"/>
  <c r="F223" i="1"/>
  <c r="E223" i="1"/>
  <c r="I222" i="1"/>
  <c r="H222" i="1"/>
  <c r="F222" i="1"/>
  <c r="E222" i="1"/>
  <c r="I221" i="1"/>
  <c r="H221" i="1"/>
  <c r="F221" i="1"/>
  <c r="E221" i="1"/>
  <c r="I220" i="1"/>
  <c r="H220" i="1"/>
  <c r="F220" i="1"/>
  <c r="E220" i="1"/>
  <c r="I219" i="1"/>
  <c r="H219" i="1"/>
  <c r="F219" i="1"/>
  <c r="E219" i="1"/>
  <c r="I218" i="1"/>
  <c r="H218" i="1"/>
  <c r="F218" i="1"/>
  <c r="E218" i="1"/>
  <c r="I217" i="1"/>
  <c r="H217" i="1"/>
  <c r="F217" i="1"/>
  <c r="E217" i="1"/>
  <c r="I216" i="1"/>
  <c r="H216" i="1"/>
  <c r="F216" i="1"/>
  <c r="E216" i="1"/>
  <c r="I215" i="1"/>
  <c r="H215" i="1"/>
  <c r="F215" i="1"/>
  <c r="E215" i="1"/>
  <c r="I214" i="1"/>
  <c r="H214" i="1"/>
  <c r="F214" i="1"/>
  <c r="E214" i="1"/>
  <c r="I213" i="1"/>
  <c r="H213" i="1"/>
  <c r="F213" i="1"/>
  <c r="E213" i="1"/>
  <c r="I212" i="1"/>
  <c r="H212" i="1"/>
  <c r="F212" i="1"/>
  <c r="E212" i="1"/>
  <c r="I211" i="1"/>
  <c r="H211" i="1"/>
  <c r="F211" i="1"/>
  <c r="E211" i="1"/>
  <c r="I210" i="1"/>
  <c r="H210" i="1"/>
  <c r="F210" i="1"/>
  <c r="E210" i="1"/>
  <c r="I209" i="1"/>
  <c r="H209" i="1"/>
  <c r="F209" i="1"/>
  <c r="E209" i="1"/>
  <c r="I208" i="1"/>
  <c r="H208" i="1"/>
  <c r="F208" i="1"/>
  <c r="E208" i="1"/>
  <c r="I207" i="1"/>
  <c r="H207" i="1"/>
  <c r="F207" i="1"/>
  <c r="E207" i="1"/>
  <c r="I206" i="1"/>
  <c r="H206" i="1"/>
  <c r="F206" i="1"/>
  <c r="E206" i="1"/>
  <c r="I205" i="1"/>
  <c r="H205" i="1"/>
  <c r="F205" i="1"/>
  <c r="E205" i="1"/>
  <c r="I204" i="1"/>
  <c r="H204" i="1"/>
  <c r="F204" i="1"/>
  <c r="E204" i="1"/>
  <c r="I203" i="1"/>
  <c r="H203" i="1"/>
  <c r="F203" i="1"/>
  <c r="E203" i="1"/>
  <c r="I202" i="1"/>
  <c r="H202" i="1"/>
  <c r="F202" i="1"/>
  <c r="E202" i="1"/>
  <c r="I201" i="1"/>
  <c r="H201" i="1"/>
  <c r="F201" i="1"/>
  <c r="E201" i="1"/>
  <c r="I200" i="1"/>
  <c r="H200" i="1"/>
  <c r="F200" i="1"/>
  <c r="E200" i="1"/>
  <c r="I199" i="1"/>
  <c r="H199" i="1"/>
  <c r="F199" i="1"/>
  <c r="E199" i="1"/>
  <c r="I198" i="1"/>
  <c r="H198" i="1"/>
  <c r="F198" i="1"/>
  <c r="E198" i="1"/>
  <c r="I197" i="1"/>
  <c r="H197" i="1"/>
  <c r="F197" i="1"/>
  <c r="E197" i="1"/>
  <c r="I196" i="1"/>
  <c r="H196" i="1"/>
  <c r="F196" i="1"/>
  <c r="E196" i="1"/>
  <c r="I195" i="1"/>
  <c r="H195" i="1"/>
  <c r="F195" i="1"/>
  <c r="E195" i="1"/>
  <c r="I194" i="1"/>
  <c r="H194" i="1"/>
  <c r="F194" i="1"/>
  <c r="E194" i="1"/>
  <c r="I193" i="1"/>
  <c r="H193" i="1"/>
  <c r="F193" i="1"/>
  <c r="E193" i="1"/>
  <c r="I192" i="1"/>
  <c r="H192" i="1"/>
  <c r="F192" i="1"/>
  <c r="E192" i="1"/>
  <c r="I191" i="1"/>
  <c r="H191" i="1"/>
  <c r="F191" i="1"/>
  <c r="E191" i="1"/>
  <c r="I190" i="1"/>
  <c r="H190" i="1"/>
  <c r="F190" i="1"/>
  <c r="E190" i="1"/>
  <c r="I189" i="1"/>
  <c r="H189" i="1"/>
  <c r="F189" i="1"/>
  <c r="E189" i="1"/>
  <c r="I188" i="1"/>
  <c r="H188" i="1"/>
  <c r="F188" i="1"/>
  <c r="E188" i="1"/>
  <c r="I187" i="1"/>
  <c r="H187" i="1"/>
  <c r="F187" i="1"/>
  <c r="E187" i="1"/>
  <c r="I186" i="1"/>
  <c r="H186" i="1"/>
  <c r="F186" i="1"/>
  <c r="E186" i="1"/>
  <c r="I185" i="1"/>
  <c r="H185" i="1"/>
  <c r="F185" i="1"/>
  <c r="E185" i="1"/>
  <c r="I184" i="1"/>
  <c r="H184" i="1"/>
  <c r="F184" i="1"/>
  <c r="E184" i="1"/>
  <c r="I183" i="1"/>
  <c r="H183" i="1"/>
  <c r="F183" i="1"/>
  <c r="E183" i="1"/>
  <c r="I182" i="1"/>
  <c r="H182" i="1"/>
  <c r="F182" i="1"/>
  <c r="E182" i="1"/>
  <c r="I181" i="1"/>
  <c r="H181" i="1"/>
  <c r="F181" i="1"/>
  <c r="E181" i="1"/>
  <c r="I180" i="1"/>
  <c r="H180" i="1"/>
  <c r="F180" i="1"/>
  <c r="E180" i="1"/>
  <c r="I179" i="1"/>
  <c r="H179" i="1"/>
  <c r="F179" i="1"/>
  <c r="E179" i="1"/>
  <c r="I178" i="1"/>
  <c r="H178" i="1"/>
  <c r="F178" i="1"/>
  <c r="E178" i="1"/>
  <c r="I177" i="1"/>
  <c r="H177" i="1"/>
  <c r="F177" i="1"/>
  <c r="E177" i="1"/>
  <c r="I176" i="1"/>
  <c r="H176" i="1"/>
  <c r="F176" i="1"/>
  <c r="E176" i="1"/>
  <c r="I175" i="1"/>
  <c r="H175" i="1"/>
  <c r="F175" i="1"/>
  <c r="E175" i="1"/>
  <c r="I174" i="1"/>
  <c r="H174" i="1"/>
  <c r="F174" i="1"/>
  <c r="E174" i="1"/>
  <c r="I173" i="1"/>
  <c r="H173" i="1"/>
  <c r="F173" i="1"/>
  <c r="E173" i="1"/>
  <c r="I172" i="1"/>
  <c r="H172" i="1"/>
  <c r="F172" i="1"/>
  <c r="E172" i="1"/>
  <c r="I171" i="1"/>
  <c r="H171" i="1"/>
  <c r="F171" i="1"/>
  <c r="E171" i="1"/>
  <c r="I170" i="1"/>
  <c r="H170" i="1"/>
  <c r="F170" i="1"/>
  <c r="E170" i="1"/>
  <c r="I169" i="1"/>
  <c r="H169" i="1"/>
  <c r="F169" i="1"/>
  <c r="E169" i="1"/>
  <c r="I168" i="1"/>
  <c r="H168" i="1"/>
  <c r="F168" i="1"/>
  <c r="E168" i="1"/>
  <c r="I167" i="1"/>
  <c r="H167" i="1"/>
  <c r="F167" i="1"/>
  <c r="E167" i="1"/>
  <c r="I166" i="1"/>
  <c r="H166" i="1"/>
  <c r="F166" i="1"/>
  <c r="E166" i="1"/>
  <c r="I165" i="1"/>
  <c r="H165" i="1"/>
  <c r="F165" i="1"/>
  <c r="E165" i="1"/>
  <c r="I164" i="1"/>
  <c r="H164" i="1"/>
  <c r="F164" i="1"/>
  <c r="E164" i="1"/>
  <c r="I163" i="1"/>
  <c r="H163" i="1"/>
  <c r="F163" i="1"/>
  <c r="E163" i="1"/>
  <c r="I162" i="1"/>
  <c r="H162" i="1"/>
  <c r="F162" i="1"/>
  <c r="E162" i="1"/>
  <c r="I161" i="1"/>
  <c r="H161" i="1"/>
  <c r="F161" i="1"/>
  <c r="E161" i="1"/>
  <c r="I160" i="1"/>
  <c r="H160" i="1"/>
  <c r="F160" i="1"/>
  <c r="E160" i="1"/>
  <c r="I159" i="1"/>
  <c r="H159" i="1"/>
  <c r="F159" i="1"/>
  <c r="E159" i="1"/>
  <c r="I158" i="1"/>
  <c r="H158" i="1"/>
  <c r="F158" i="1"/>
  <c r="E158" i="1"/>
  <c r="I157" i="1"/>
  <c r="H157" i="1"/>
  <c r="F157" i="1"/>
  <c r="E157" i="1"/>
  <c r="I156" i="1"/>
  <c r="H156" i="1"/>
  <c r="F156" i="1"/>
  <c r="E156" i="1"/>
  <c r="I155" i="1"/>
  <c r="H155" i="1"/>
  <c r="F155" i="1"/>
  <c r="E155" i="1"/>
  <c r="I154" i="1"/>
  <c r="H154" i="1"/>
  <c r="F154" i="1"/>
  <c r="E154" i="1"/>
  <c r="I153" i="1"/>
  <c r="H153" i="1"/>
  <c r="F153" i="1"/>
  <c r="E153" i="1"/>
  <c r="I152" i="1"/>
  <c r="H152" i="1"/>
  <c r="F152" i="1"/>
  <c r="E152" i="1"/>
  <c r="I151" i="1"/>
  <c r="H151" i="1"/>
  <c r="F151" i="1"/>
  <c r="E151" i="1"/>
  <c r="I150" i="1"/>
  <c r="H150" i="1"/>
  <c r="F150" i="1"/>
  <c r="E150" i="1"/>
  <c r="I149" i="1"/>
  <c r="H149" i="1"/>
  <c r="F149" i="1"/>
  <c r="E149" i="1"/>
  <c r="I148" i="1"/>
  <c r="H148" i="1"/>
  <c r="F148" i="1"/>
  <c r="E148" i="1"/>
  <c r="I147" i="1"/>
  <c r="H147" i="1"/>
  <c r="F147" i="1"/>
  <c r="E147" i="1"/>
  <c r="I146" i="1"/>
  <c r="H146" i="1"/>
  <c r="F146" i="1"/>
  <c r="E146" i="1"/>
  <c r="I145" i="1"/>
  <c r="H145" i="1"/>
  <c r="F145" i="1"/>
  <c r="E145" i="1"/>
  <c r="I144" i="1"/>
  <c r="H144" i="1"/>
  <c r="F144" i="1"/>
  <c r="E144" i="1"/>
  <c r="I143" i="1"/>
  <c r="H143" i="1"/>
  <c r="F143" i="1"/>
  <c r="E143" i="1"/>
  <c r="I142" i="1"/>
  <c r="H142" i="1"/>
  <c r="F142" i="1"/>
  <c r="E142" i="1"/>
  <c r="I141" i="1"/>
  <c r="H141" i="1"/>
  <c r="F141" i="1"/>
  <c r="E141" i="1"/>
  <c r="I140" i="1"/>
  <c r="H140" i="1"/>
  <c r="F140" i="1"/>
  <c r="E140" i="1"/>
  <c r="I139" i="1"/>
  <c r="H139" i="1"/>
  <c r="F139" i="1"/>
  <c r="E139" i="1"/>
  <c r="I138" i="1"/>
  <c r="H138" i="1"/>
  <c r="F138" i="1"/>
  <c r="E138" i="1"/>
  <c r="I137" i="1"/>
  <c r="H137" i="1"/>
  <c r="F137" i="1"/>
  <c r="E137" i="1"/>
  <c r="I136" i="1"/>
  <c r="H136" i="1"/>
  <c r="F136" i="1"/>
  <c r="E136" i="1"/>
  <c r="I135" i="1"/>
  <c r="H135" i="1"/>
  <c r="F135" i="1"/>
  <c r="E135" i="1"/>
  <c r="I134" i="1"/>
  <c r="H134" i="1"/>
  <c r="F134" i="1"/>
  <c r="E134" i="1"/>
  <c r="I133" i="1"/>
  <c r="H133" i="1"/>
  <c r="F133" i="1"/>
  <c r="E133" i="1"/>
  <c r="I132" i="1"/>
  <c r="H132" i="1"/>
  <c r="F132" i="1"/>
  <c r="E132" i="1"/>
  <c r="I131" i="1"/>
  <c r="H131" i="1"/>
  <c r="F131" i="1"/>
  <c r="E131" i="1"/>
  <c r="I130" i="1"/>
  <c r="H130" i="1"/>
  <c r="F130" i="1"/>
  <c r="E130" i="1"/>
  <c r="I129" i="1"/>
  <c r="H129" i="1"/>
  <c r="F129" i="1"/>
  <c r="E129" i="1"/>
  <c r="I128" i="1"/>
  <c r="H128" i="1"/>
  <c r="F128" i="1"/>
  <c r="E128" i="1"/>
  <c r="I127" i="1"/>
  <c r="H127" i="1"/>
  <c r="F127" i="1"/>
  <c r="E127" i="1"/>
  <c r="I126" i="1"/>
  <c r="H126" i="1"/>
  <c r="F126" i="1"/>
  <c r="E126" i="1"/>
  <c r="I125" i="1"/>
  <c r="H125" i="1"/>
  <c r="F125" i="1"/>
  <c r="E125" i="1"/>
  <c r="I124" i="1"/>
  <c r="H124" i="1"/>
  <c r="F124" i="1"/>
  <c r="E124" i="1"/>
  <c r="I123" i="1"/>
  <c r="H123" i="1"/>
  <c r="F123" i="1"/>
  <c r="E123" i="1"/>
  <c r="I122" i="1"/>
  <c r="H122" i="1"/>
  <c r="F122" i="1"/>
  <c r="E122" i="1"/>
  <c r="I121" i="1"/>
  <c r="H121" i="1"/>
  <c r="F121" i="1"/>
  <c r="E121" i="1"/>
  <c r="I120" i="1"/>
  <c r="H120" i="1"/>
  <c r="F120" i="1"/>
  <c r="E120" i="1"/>
  <c r="I119" i="1"/>
  <c r="H119" i="1"/>
  <c r="F119" i="1"/>
  <c r="E119" i="1"/>
  <c r="I118" i="1"/>
  <c r="H118" i="1"/>
  <c r="F118" i="1"/>
  <c r="E118" i="1"/>
  <c r="I117" i="1"/>
  <c r="H117" i="1"/>
  <c r="F117" i="1"/>
  <c r="E117" i="1"/>
  <c r="I116" i="1"/>
  <c r="H116" i="1"/>
  <c r="F116" i="1"/>
  <c r="E116" i="1"/>
  <c r="I115" i="1"/>
  <c r="H115" i="1"/>
  <c r="F115" i="1"/>
  <c r="E115" i="1"/>
  <c r="I114" i="1"/>
  <c r="H114" i="1"/>
  <c r="F114" i="1"/>
  <c r="E114" i="1"/>
  <c r="I113" i="1"/>
  <c r="H113" i="1"/>
  <c r="F113" i="1"/>
  <c r="E113" i="1"/>
  <c r="I112" i="1"/>
  <c r="H112" i="1"/>
  <c r="F112" i="1"/>
  <c r="E112" i="1"/>
  <c r="I111" i="1"/>
  <c r="H111" i="1"/>
  <c r="F111" i="1"/>
  <c r="E111" i="1"/>
  <c r="I110" i="1"/>
  <c r="H110" i="1"/>
  <c r="F110" i="1"/>
  <c r="E110" i="1"/>
  <c r="I109" i="1"/>
  <c r="H109" i="1"/>
  <c r="F109" i="1"/>
  <c r="E109" i="1"/>
  <c r="I108" i="1"/>
  <c r="H108" i="1"/>
  <c r="F108" i="1"/>
  <c r="E108" i="1"/>
  <c r="I107" i="1"/>
  <c r="H107" i="1"/>
  <c r="F107" i="1"/>
  <c r="E107" i="1"/>
  <c r="I106" i="1"/>
  <c r="H106" i="1"/>
  <c r="F106" i="1"/>
  <c r="E106" i="1"/>
  <c r="I105" i="1"/>
  <c r="H105" i="1"/>
  <c r="F105" i="1"/>
  <c r="E105" i="1"/>
  <c r="I104" i="1"/>
  <c r="H104" i="1"/>
  <c r="F104" i="1"/>
  <c r="E104" i="1"/>
  <c r="I103" i="1"/>
  <c r="H103" i="1"/>
  <c r="F103" i="1"/>
  <c r="E103" i="1"/>
  <c r="I102" i="1"/>
  <c r="H102" i="1"/>
  <c r="F102" i="1"/>
  <c r="E102" i="1"/>
  <c r="I101" i="1"/>
  <c r="H101" i="1"/>
  <c r="F101" i="1"/>
  <c r="E101" i="1"/>
  <c r="I100" i="1"/>
  <c r="H100" i="1"/>
  <c r="F100" i="1"/>
  <c r="E100" i="1"/>
  <c r="I99" i="1"/>
  <c r="H99" i="1"/>
  <c r="F99" i="1"/>
  <c r="E99" i="1"/>
  <c r="I98" i="1"/>
  <c r="H98" i="1"/>
  <c r="F98" i="1"/>
  <c r="E98" i="1"/>
  <c r="I97" i="1"/>
  <c r="H97" i="1"/>
  <c r="F97" i="1"/>
  <c r="E97" i="1"/>
  <c r="I96" i="1"/>
  <c r="H96" i="1"/>
  <c r="F96" i="1"/>
  <c r="E96" i="1"/>
  <c r="I95" i="1"/>
  <c r="H95" i="1"/>
  <c r="F95" i="1"/>
  <c r="E95" i="1"/>
  <c r="I94" i="1"/>
  <c r="H94" i="1"/>
  <c r="F94" i="1"/>
  <c r="E94" i="1"/>
  <c r="I93" i="1"/>
  <c r="H93" i="1"/>
  <c r="F93" i="1"/>
  <c r="E93" i="1"/>
  <c r="I92" i="1"/>
  <c r="H92" i="1"/>
  <c r="F92" i="1"/>
  <c r="E92" i="1"/>
  <c r="I91" i="1"/>
  <c r="H91" i="1"/>
  <c r="F91" i="1"/>
  <c r="E91" i="1"/>
  <c r="I90" i="1"/>
  <c r="H90" i="1"/>
  <c r="F90" i="1"/>
  <c r="E90" i="1"/>
  <c r="I89" i="1"/>
  <c r="H89" i="1"/>
  <c r="F89" i="1"/>
  <c r="E89" i="1"/>
  <c r="I88" i="1"/>
  <c r="H88" i="1"/>
  <c r="F88" i="1"/>
  <c r="E88" i="1"/>
  <c r="I87" i="1"/>
  <c r="H87" i="1"/>
  <c r="F87" i="1"/>
  <c r="E87" i="1"/>
  <c r="I86" i="1"/>
  <c r="H86" i="1"/>
  <c r="F86" i="1"/>
  <c r="E86" i="1"/>
  <c r="I85" i="1"/>
  <c r="H85" i="1"/>
  <c r="F85" i="1"/>
  <c r="E85" i="1"/>
  <c r="I84" i="1"/>
  <c r="H84" i="1"/>
  <c r="F84" i="1"/>
  <c r="E84" i="1"/>
  <c r="I83" i="1"/>
  <c r="H83" i="1"/>
  <c r="F83" i="1"/>
  <c r="E83" i="1"/>
  <c r="I82" i="1"/>
  <c r="H82" i="1"/>
  <c r="F82" i="1"/>
  <c r="E82" i="1"/>
  <c r="I81" i="1"/>
  <c r="H81" i="1"/>
  <c r="F81" i="1"/>
  <c r="E81" i="1"/>
  <c r="I80" i="1"/>
  <c r="H80" i="1"/>
  <c r="F80" i="1"/>
  <c r="E80" i="1"/>
  <c r="I79" i="1"/>
  <c r="H79" i="1"/>
  <c r="F79" i="1"/>
  <c r="E79" i="1"/>
  <c r="I78" i="1"/>
  <c r="H78" i="1"/>
  <c r="F78" i="1"/>
  <c r="E78" i="1"/>
  <c r="I77" i="1"/>
  <c r="H77" i="1"/>
  <c r="F77" i="1"/>
  <c r="E77" i="1"/>
  <c r="I76" i="1"/>
  <c r="H76" i="1"/>
  <c r="F76" i="1"/>
  <c r="E76" i="1"/>
  <c r="I75" i="1"/>
  <c r="H75" i="1"/>
  <c r="F75" i="1"/>
  <c r="E75" i="1"/>
  <c r="I74" i="1"/>
  <c r="H74" i="1"/>
  <c r="F74" i="1"/>
  <c r="E74" i="1"/>
  <c r="I73" i="1"/>
  <c r="H73" i="1"/>
  <c r="F73" i="1"/>
  <c r="E73" i="1"/>
  <c r="I72" i="1"/>
  <c r="H72" i="1"/>
  <c r="F72" i="1"/>
  <c r="E72" i="1"/>
  <c r="I71" i="1"/>
  <c r="H71" i="1"/>
  <c r="F71" i="1"/>
  <c r="E71" i="1"/>
  <c r="I70" i="1"/>
  <c r="H70" i="1"/>
  <c r="F70" i="1"/>
  <c r="E70" i="1"/>
  <c r="I69" i="1"/>
  <c r="H69" i="1"/>
  <c r="F69" i="1"/>
  <c r="E69" i="1"/>
  <c r="I68" i="1"/>
  <c r="H68" i="1"/>
  <c r="F68" i="1"/>
  <c r="E68" i="1"/>
  <c r="I67" i="1"/>
  <c r="H67" i="1"/>
  <c r="F67" i="1"/>
  <c r="E67" i="1"/>
  <c r="I66" i="1"/>
  <c r="H66" i="1"/>
  <c r="F66" i="1"/>
  <c r="E66" i="1"/>
  <c r="I65" i="1"/>
  <c r="H65" i="1"/>
  <c r="F65" i="1"/>
  <c r="E65" i="1"/>
  <c r="I64" i="1"/>
  <c r="H64" i="1"/>
  <c r="F64" i="1"/>
  <c r="E64" i="1"/>
  <c r="I63" i="1"/>
  <c r="H63" i="1"/>
  <c r="F63" i="1"/>
  <c r="E63" i="1"/>
  <c r="I62" i="1"/>
  <c r="H62" i="1"/>
  <c r="F62" i="1"/>
  <c r="E62" i="1"/>
  <c r="I61" i="1"/>
  <c r="H61" i="1"/>
  <c r="F61" i="1"/>
  <c r="E61" i="1"/>
  <c r="I60" i="1"/>
  <c r="H60" i="1"/>
  <c r="F60" i="1"/>
  <c r="E60" i="1"/>
  <c r="I59" i="1"/>
  <c r="H59" i="1"/>
  <c r="F59" i="1"/>
  <c r="E59" i="1"/>
  <c r="I58" i="1"/>
  <c r="H58" i="1"/>
  <c r="F58" i="1"/>
  <c r="E58" i="1"/>
  <c r="I57" i="1"/>
  <c r="H57" i="1"/>
  <c r="F57" i="1"/>
  <c r="E57" i="1"/>
  <c r="I56" i="1"/>
  <c r="H56" i="1"/>
  <c r="F56" i="1"/>
  <c r="E56" i="1"/>
  <c r="E31" i="1" l="1"/>
  <c r="F31" i="1"/>
  <c r="H31" i="1"/>
  <c r="I31" i="1"/>
  <c r="E32" i="1"/>
  <c r="F32" i="1"/>
  <c r="H32" i="1"/>
  <c r="I32" i="1"/>
  <c r="E33" i="1"/>
  <c r="F33" i="1"/>
  <c r="H33" i="1"/>
  <c r="I33" i="1"/>
  <c r="E34" i="1"/>
  <c r="F34" i="1"/>
  <c r="H34" i="1"/>
  <c r="I34" i="1"/>
  <c r="E35" i="1"/>
  <c r="F35" i="1"/>
  <c r="H35" i="1"/>
  <c r="I35" i="1"/>
  <c r="E36" i="1"/>
  <c r="F36" i="1"/>
  <c r="H36" i="1"/>
  <c r="I36" i="1"/>
  <c r="E37" i="1"/>
  <c r="F37" i="1"/>
  <c r="H37" i="1"/>
  <c r="I37" i="1"/>
  <c r="E38" i="1"/>
  <c r="F38" i="1"/>
  <c r="H38" i="1"/>
  <c r="I38" i="1"/>
  <c r="E39" i="1"/>
  <c r="F39" i="1"/>
  <c r="H39" i="1"/>
  <c r="I39" i="1"/>
  <c r="E40" i="1"/>
  <c r="F40" i="1"/>
  <c r="H40" i="1"/>
  <c r="I40" i="1"/>
  <c r="E41" i="1"/>
  <c r="F41" i="1"/>
  <c r="H41" i="1"/>
  <c r="I41" i="1"/>
  <c r="E42" i="1"/>
  <c r="F42" i="1"/>
  <c r="H42" i="1"/>
  <c r="I42" i="1"/>
  <c r="E43" i="1"/>
  <c r="F43" i="1"/>
  <c r="H43" i="1"/>
  <c r="I43" i="1"/>
  <c r="E44" i="1"/>
  <c r="F44" i="1"/>
  <c r="H44" i="1"/>
  <c r="I44" i="1"/>
  <c r="E45" i="1"/>
  <c r="F45" i="1"/>
  <c r="H45" i="1"/>
  <c r="I45" i="1"/>
  <c r="E46" i="1"/>
  <c r="F46" i="1"/>
  <c r="H46" i="1"/>
  <c r="I46" i="1"/>
  <c r="E47" i="1"/>
  <c r="F47" i="1"/>
  <c r="H47" i="1"/>
  <c r="I47" i="1"/>
  <c r="E48" i="1"/>
  <c r="F48" i="1"/>
  <c r="H48" i="1"/>
  <c r="I48" i="1"/>
  <c r="E49" i="1"/>
  <c r="F49" i="1"/>
  <c r="H49" i="1"/>
  <c r="I49" i="1"/>
  <c r="E50" i="1"/>
  <c r="F50" i="1"/>
  <c r="H50" i="1"/>
  <c r="I50" i="1"/>
  <c r="E51" i="1"/>
  <c r="F51" i="1"/>
  <c r="H51" i="1"/>
  <c r="I51" i="1"/>
  <c r="E52" i="1"/>
  <c r="F52" i="1"/>
  <c r="H52" i="1"/>
  <c r="I52" i="1"/>
  <c r="E53" i="1"/>
  <c r="F53" i="1"/>
  <c r="H53" i="1"/>
  <c r="I53" i="1"/>
  <c r="E54" i="1"/>
  <c r="F54" i="1"/>
  <c r="H54" i="1"/>
  <c r="I54" i="1"/>
  <c r="E55" i="1"/>
  <c r="F55" i="1"/>
  <c r="H55" i="1"/>
  <c r="I55" i="1"/>
  <c r="E30" i="1"/>
  <c r="F30" i="1"/>
  <c r="H30" i="1"/>
  <c r="I30" i="1"/>
  <c r="E3" i="1"/>
  <c r="F3" i="1"/>
  <c r="H3" i="1"/>
  <c r="I3" i="1"/>
  <c r="E4" i="1"/>
  <c r="F4" i="1"/>
  <c r="H4" i="1"/>
  <c r="I4" i="1"/>
  <c r="E5" i="1"/>
  <c r="F5" i="1"/>
  <c r="H5" i="1"/>
  <c r="I5" i="1"/>
  <c r="E6" i="1"/>
  <c r="F6" i="1"/>
  <c r="H6" i="1"/>
  <c r="I6" i="1"/>
  <c r="E7" i="1"/>
  <c r="F7" i="1"/>
  <c r="H7" i="1"/>
  <c r="I7" i="1"/>
  <c r="E8" i="1"/>
  <c r="F8" i="1"/>
  <c r="H8" i="1"/>
  <c r="I8" i="1"/>
  <c r="E9" i="1"/>
  <c r="F9" i="1"/>
  <c r="H9" i="1"/>
  <c r="I9" i="1"/>
  <c r="E10" i="1"/>
  <c r="F10" i="1"/>
  <c r="H10" i="1"/>
  <c r="I10" i="1"/>
  <c r="E11" i="1"/>
  <c r="F11" i="1"/>
  <c r="H11" i="1"/>
  <c r="I11" i="1"/>
  <c r="E12" i="1"/>
  <c r="F12" i="1"/>
  <c r="H12" i="1"/>
  <c r="I12" i="1"/>
  <c r="E13" i="1"/>
  <c r="F13" i="1"/>
  <c r="H13" i="1"/>
  <c r="I13" i="1"/>
  <c r="E14" i="1"/>
  <c r="F14" i="1"/>
  <c r="H14" i="1"/>
  <c r="I14" i="1"/>
  <c r="E15" i="1"/>
  <c r="F15" i="1"/>
  <c r="H15" i="1"/>
  <c r="I15" i="1"/>
  <c r="E16" i="1"/>
  <c r="F16" i="1"/>
  <c r="H16" i="1"/>
  <c r="I16" i="1"/>
  <c r="E17" i="1"/>
  <c r="F17" i="1"/>
  <c r="H17" i="1"/>
  <c r="I17" i="1"/>
  <c r="E18" i="1"/>
  <c r="F18" i="1"/>
  <c r="H18" i="1"/>
  <c r="I18" i="1"/>
  <c r="E19" i="1"/>
  <c r="F19" i="1"/>
  <c r="H19" i="1"/>
  <c r="I19" i="1"/>
  <c r="E20" i="1"/>
  <c r="F20" i="1"/>
  <c r="H20" i="1"/>
  <c r="I20" i="1"/>
  <c r="E21" i="1"/>
  <c r="F21" i="1"/>
  <c r="H21" i="1"/>
  <c r="I21" i="1"/>
  <c r="E22" i="1"/>
  <c r="F22" i="1"/>
  <c r="H22" i="1"/>
  <c r="I22" i="1"/>
  <c r="E23" i="1"/>
  <c r="F23" i="1"/>
  <c r="H23" i="1"/>
  <c r="I23" i="1"/>
  <c r="E24" i="1"/>
  <c r="F24" i="1"/>
  <c r="H24" i="1"/>
  <c r="I24" i="1"/>
  <c r="E25" i="1"/>
  <c r="F25" i="1"/>
  <c r="H25" i="1"/>
  <c r="I25" i="1"/>
  <c r="E26" i="1"/>
  <c r="F26" i="1"/>
  <c r="H26" i="1"/>
  <c r="I26" i="1"/>
  <c r="E27" i="1"/>
  <c r="F27" i="1"/>
  <c r="H27" i="1"/>
  <c r="I27" i="1"/>
  <c r="E28" i="1"/>
  <c r="F28" i="1"/>
  <c r="H28" i="1"/>
  <c r="I28" i="1"/>
  <c r="E29" i="1"/>
  <c r="F29" i="1"/>
  <c r="H29" i="1"/>
  <c r="I29" i="1"/>
  <c r="E2" i="1" l="1"/>
  <c r="F2" i="1"/>
  <c r="H2" i="1"/>
  <c r="I2" i="1"/>
</calcChain>
</file>

<file path=xl/sharedStrings.xml><?xml version="1.0" encoding="utf-8"?>
<sst xmlns="http://schemas.openxmlformats.org/spreadsheetml/2006/main" count="2658" uniqueCount="121">
  <si>
    <t>手机号</t>
  </si>
  <si>
    <t>银行帐号</t>
  </si>
  <si>
    <t>123156199005202513</t>
  </si>
  <si>
    <t>15011000001</t>
  </si>
  <si>
    <t/>
  </si>
  <si>
    <t>Date Type (Code/Name)</t>
  </si>
  <si>
    <t>Shift (Code/Name)</t>
  </si>
  <si>
    <t xml:space="preserve">Employee ID </t>
  </si>
  <si>
    <t>Employee Name</t>
  </si>
  <si>
    <t>Shift  (Code/Name)</t>
  </si>
  <si>
    <t>Shift Code</t>
  </si>
  <si>
    <t>Date</t>
  </si>
  <si>
    <t>Date type (Code/Name)</t>
  </si>
  <si>
    <t>Shift</t>
  </si>
  <si>
    <t>Date type code</t>
  </si>
  <si>
    <t>Date type</t>
  </si>
  <si>
    <t>1440</t>
  </si>
  <si>
    <t>1440 &gt; Ngày thường</t>
  </si>
  <si>
    <t>Ngày thường</t>
  </si>
  <si>
    <t>1441 &gt; Cuối tuần</t>
  </si>
  <si>
    <t>1441</t>
  </si>
  <si>
    <t>Cuối tuần</t>
  </si>
  <si>
    <t>1442 &gt; Ngày lễ</t>
  </si>
  <si>
    <t>1442</t>
  </si>
  <si>
    <t>Ngày lễ</t>
  </si>
  <si>
    <t>90000425 &gt; Nghỉ hưởng lương</t>
  </si>
  <si>
    <t>90000425</t>
  </si>
  <si>
    <t>Nghỉ hưởng lương</t>
  </si>
  <si>
    <t>14015888 &gt; Ca hành chính</t>
  </si>
  <si>
    <t>14015888</t>
  </si>
  <si>
    <t>Ca hành chính</t>
  </si>
  <si>
    <t>14015595 &gt; Ca đêm</t>
  </si>
  <si>
    <t>14015595</t>
  </si>
  <si>
    <t>Ca đêm</t>
  </si>
  <si>
    <t>80000001 &gt; Ca sáng</t>
  </si>
  <si>
    <t>80000001</t>
  </si>
  <si>
    <t>Ca sáng</t>
  </si>
  <si>
    <t>80000002 &gt; Ca chiều</t>
  </si>
  <si>
    <t>80000002</t>
  </si>
  <si>
    <t>Ca chiều</t>
  </si>
  <si>
    <t>80000003 &gt; Ca tối</t>
  </si>
  <si>
    <t>80000003</t>
  </si>
  <si>
    <t>Ca tối</t>
  </si>
  <si>
    <t>14015838 &gt; Nghỉ ngơi</t>
  </si>
  <si>
    <t>14015838</t>
  </si>
  <si>
    <t>Nghỉ ngơi</t>
  </si>
  <si>
    <t>90000447 &gt; Night Shift</t>
  </si>
  <si>
    <t>90000447</t>
  </si>
  <si>
    <t>Night Shift</t>
  </si>
  <si>
    <t>90000448 &gt; Day Shift</t>
  </si>
  <si>
    <t>90000448</t>
  </si>
  <si>
    <t>Day Shift</t>
  </si>
  <si>
    <t>90000456 &gt; Ca ngày</t>
  </si>
  <si>
    <t>90000456</t>
  </si>
  <si>
    <t>Ca ngày</t>
  </si>
  <si>
    <t>Nguyễn Đình Hà</t>
  </si>
  <si>
    <t>Phạm Thị Huyền</t>
  </si>
  <si>
    <t>Mao Thị Liễu</t>
  </si>
  <si>
    <t>Vi Thị Phương</t>
  </si>
  <si>
    <t>Trần Thị Thư</t>
  </si>
  <si>
    <t>Hoàng Thị Chinh</t>
  </si>
  <si>
    <t>Vi Thị Hường</t>
  </si>
  <si>
    <t>Lương Văn Nghiệm</t>
  </si>
  <si>
    <t>Tạ Văn Trường</t>
  </si>
  <si>
    <t>Trần Thị Mỹ Điệp</t>
  </si>
  <si>
    <t>Lâm Thị Thu</t>
  </si>
  <si>
    <t>Hồ Thị Nga</t>
  </si>
  <si>
    <t>Mai Thị Thảo</t>
  </si>
  <si>
    <t>Dương Thị Vân Anh</t>
  </si>
  <si>
    <t>Bàn Thị Thủy</t>
  </si>
  <si>
    <t>Trương Thị Ưu</t>
  </si>
  <si>
    <t>Bùi Thị Mến</t>
  </si>
  <si>
    <t>Hoàng Thị Ngâm</t>
  </si>
  <si>
    <t>Lê Văn Xuân</t>
  </si>
  <si>
    <t>Lương Thị Gái</t>
  </si>
  <si>
    <t>Lương Ngọc Chi</t>
  </si>
  <si>
    <t>Ma Thị Thu Thanh</t>
  </si>
  <si>
    <t>Lưu Mạnh Nhất</t>
  </si>
  <si>
    <t>Hồ Thị Xuân Thu</t>
  </si>
  <si>
    <t xml:space="preserve">Phạm Thị Lan </t>
  </si>
  <si>
    <t>Nguyễn Thanh Huyền</t>
  </si>
  <si>
    <t>Tống Thị Cúc</t>
  </si>
  <si>
    <t>Bùi Thị Lê</t>
  </si>
  <si>
    <t>25/11/2019</t>
  </si>
  <si>
    <t>Hoàng Trung Hiếu</t>
  </si>
  <si>
    <t>Bùi Thị Hoa</t>
  </si>
  <si>
    <t>Nguyễn Thị Thoa</t>
  </si>
  <si>
    <t>Lý Thị Hồi</t>
  </si>
  <si>
    <t>Hoàng Thị Thi</t>
  </si>
  <si>
    <t>Bùi Thị Hiệp</t>
  </si>
  <si>
    <t>Hồ Thị Hằng</t>
  </si>
  <si>
    <t>Hoàng Thị Thảo</t>
  </si>
  <si>
    <t>Hoàng Văn Mười</t>
  </si>
  <si>
    <t>Lê Thị Kim Huệ</t>
  </si>
  <si>
    <t>Bùi Thị Lan</t>
  </si>
  <si>
    <t>Bùi Thị Hồng</t>
  </si>
  <si>
    <t>Nguyễn Thị Hương</t>
  </si>
  <si>
    <t>Đàm Thị Lan</t>
  </si>
  <si>
    <t>Lò Thị Phán</t>
  </si>
  <si>
    <t>Viên Thanh Hiếu</t>
  </si>
  <si>
    <t>Đào Thị Ngọc Mai</t>
  </si>
  <si>
    <t>Lương Thị Thương</t>
  </si>
  <si>
    <t>Bế Đình Hoan</t>
  </si>
  <si>
    <t>Nguyễn Thị Vinh</t>
  </si>
  <si>
    <t>Nguyễn Thế Tùng</t>
  </si>
  <si>
    <t>Phạm Văn Bình</t>
  </si>
  <si>
    <t>Đặng Đình Đức</t>
  </si>
  <si>
    <t xml:space="preserve">Vi Thị Tươi </t>
  </si>
  <si>
    <t>Hà Xuân Quý</t>
  </si>
  <si>
    <t>Bùi Thị Tư</t>
  </si>
  <si>
    <t>26/11/2019</t>
  </si>
  <si>
    <t>27/11/2019</t>
  </si>
  <si>
    <t>28/11/2019</t>
  </si>
  <si>
    <t>29/11/2019</t>
  </si>
  <si>
    <t>30/11/2019</t>
  </si>
  <si>
    <t>2/12/2019</t>
  </si>
  <si>
    <t>3/12/2019</t>
  </si>
  <si>
    <t>4/12/2019</t>
  </si>
  <si>
    <t>5/12/2019</t>
  </si>
  <si>
    <t>6/12/2019</t>
  </si>
  <si>
    <t>7/12/2019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</si>
</sst>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宋体"/>
      <charset val="134"/>
    </font>
    <font>
      <b/>
      <sz val="10"/>
      <color indexed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14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4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5" fillId="0" borderId="0"/>
    <xf numFmtId="0" fontId="1" fillId="0" borderId="0"/>
  </cellStyleXfs>
  <cellXfs count="39">
    <xf numFmtId="0" fontId="0" fillId="0" borderId="0" xfId="0"/>
    <xf numFmtId="49" fontId="0" fillId="0" borderId="0" xfId="0" applyNumberFormat="1"/>
    <xf numFmtId="49" fontId="3" fillId="0" borderId="0" xfId="0" applyNumberFormat="1" applyFont="1"/>
    <xf numFmtId="49" fontId="6" fillId="0" borderId="0" xfId="0" applyNumberFormat="1" applyFont="1"/>
    <xf numFmtId="49" fontId="7" fillId="4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/>
    <xf numFmtId="49" fontId="8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0" fontId="2" fillId="6" borderId="1" xfId="0" applyNumberFormat="1" applyFont="1" applyFill="1" applyBorder="1" applyAlignment="1">
      <alignment horizontal="center" vertical="center" wrapText="1"/>
    </xf>
    <xf numFmtId="49" fontId="4" fillId="6" borderId="1" xfId="0" applyNumberFormat="1" applyFont="1" applyFill="1" applyBorder="1" applyAlignment="1">
      <alignment horizontal="center" vertical="center" wrapText="1"/>
    </xf>
    <xf numFmtId="49" fontId="4" fillId="6" borderId="1" xfId="0" quotePrefix="1" applyNumberFormat="1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/>
    </xf>
    <xf numFmtId="0" fontId="10" fillId="7" borderId="2" xfId="3" applyFont="1" applyFill="1" applyBorder="1" applyAlignment="1">
      <alignment horizontal="center" vertical="center"/>
    </xf>
    <xf numFmtId="0" fontId="10" fillId="6" borderId="2" xfId="3" applyFont="1" applyFill="1" applyBorder="1" applyAlignment="1">
      <alignment horizontal="center" vertical="center"/>
    </xf>
    <xf numFmtId="0" fontId="11" fillId="6" borderId="2" xfId="3" applyNumberFormat="1" applyFont="1" applyFill="1" applyBorder="1" applyAlignment="1">
      <alignment horizontal="center" vertical="center"/>
    </xf>
    <xf numFmtId="0" fontId="11" fillId="6" borderId="2" xfId="3" applyFont="1" applyFill="1" applyBorder="1" applyAlignment="1">
      <alignment horizontal="center" vertical="center"/>
    </xf>
    <xf numFmtId="49" fontId="11" fillId="6" borderId="2" xfId="3" applyNumberFormat="1" applyFont="1" applyFill="1" applyBorder="1" applyAlignment="1">
      <alignment horizontal="center" vertical="center"/>
    </xf>
    <xf numFmtId="49" fontId="11" fillId="6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11" fillId="0" borderId="2" xfId="0" applyNumberFormat="1" applyFont="1" applyFill="1" applyBorder="1" applyAlignment="1">
      <alignment horizontal="center" vertical="center"/>
    </xf>
    <xf numFmtId="0" fontId="11" fillId="8" borderId="2" xfId="3" applyNumberFormat="1" applyFont="1" applyFill="1" applyBorder="1" applyAlignment="1">
      <alignment horizontal="center" vertical="center"/>
    </xf>
    <xf numFmtId="0" fontId="11" fillId="8" borderId="2" xfId="3" applyFont="1" applyFill="1" applyBorder="1" applyAlignment="1">
      <alignment horizontal="center" vertical="center"/>
    </xf>
    <xf numFmtId="49" fontId="4" fillId="8" borderId="1" xfId="0" quotePrefix="1" applyNumberFormat="1" applyFont="1" applyFill="1" applyBorder="1" applyAlignment="1">
      <alignment horizontal="center" vertical="center" wrapText="1"/>
    </xf>
    <xf numFmtId="49" fontId="4" fillId="8" borderId="1" xfId="0" applyNumberFormat="1" applyFont="1" applyFill="1" applyBorder="1" applyAlignment="1">
      <alignment horizontal="center" vertical="center" wrapText="1"/>
    </xf>
    <xf numFmtId="0" fontId="2" fillId="8" borderId="1" xfId="0" applyNumberFormat="1" applyFont="1" applyFill="1" applyBorder="1" applyAlignment="1">
      <alignment horizontal="center" vertical="center" wrapText="1"/>
    </xf>
    <xf numFmtId="49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0" fillId="8" borderId="2" xfId="3" applyFont="1" applyFill="1" applyBorder="1" applyAlignment="1">
      <alignment horizontal="center" vertical="center"/>
    </xf>
    <xf numFmtId="49" fontId="11" fillId="8" borderId="2" xfId="3" applyNumberFormat="1" applyFont="1" applyFill="1" applyBorder="1" applyAlignment="1">
      <alignment horizontal="center" vertical="center"/>
    </xf>
    <xf numFmtId="0" fontId="11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3" xfId="3"/>
    <cellStyle name="常规 2" xfId="1"/>
    <cellStyle name="常规 2 2" xfId="2"/>
  </cellStyles>
  <dxfs count="26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9"/>
  <sheetViews>
    <sheetView tabSelected="1" topLeftCell="A91" workbookViewId="0">
      <selection activeCell="L109" sqref="L109"/>
    </sheetView>
  </sheetViews>
  <sheetFormatPr defaultRowHeight="12.75"/>
  <cols>
    <col min="1" max="1" width="17.85546875" style="1" customWidth="1"/>
    <col min="2" max="2" width="25.7109375" style="1" customWidth="1"/>
    <col min="3" max="3" width="17.85546875" style="1" customWidth="1"/>
    <col min="4" max="4" width="31.5703125" style="1" customWidth="1"/>
    <col min="5" max="5" width="14.7109375" style="1" customWidth="1"/>
    <col min="6" max="6" width="19.7109375" style="1" customWidth="1"/>
    <col min="7" max="7" width="30.7109375" style="1" customWidth="1"/>
    <col min="8" max="8" width="10.42578125" style="1" bestFit="1" customWidth="1"/>
    <col min="9" max="9" width="19.140625" style="1" customWidth="1"/>
    <col min="10" max="11" width="19.7109375" style="1" hidden="1" customWidth="1"/>
    <col min="12" max="12" width="33.140625" style="1" customWidth="1"/>
    <col min="13" max="16384" width="9.140625" style="1"/>
  </cols>
  <sheetData>
    <row r="1" spans="1:29" ht="12.75" customHeight="1">
      <c r="A1" s="8" t="s">
        <v>7</v>
      </c>
      <c r="B1" s="8" t="s">
        <v>8</v>
      </c>
      <c r="C1" s="8" t="s">
        <v>11</v>
      </c>
      <c r="D1" s="8" t="s">
        <v>12</v>
      </c>
      <c r="E1" s="9" t="s">
        <v>14</v>
      </c>
      <c r="F1" s="9" t="s">
        <v>15</v>
      </c>
      <c r="G1" s="8" t="s">
        <v>9</v>
      </c>
      <c r="H1" s="9" t="s">
        <v>10</v>
      </c>
      <c r="I1" s="9" t="s">
        <v>13</v>
      </c>
      <c r="J1" s="6" t="s">
        <v>0</v>
      </c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2.75" customHeight="1">
      <c r="A2" s="14">
        <v>43181429</v>
      </c>
      <c r="B2" s="14" t="s">
        <v>55</v>
      </c>
      <c r="C2" s="12" t="s">
        <v>83</v>
      </c>
      <c r="D2" s="11" t="s">
        <v>17</v>
      </c>
      <c r="E2" s="10" t="str">
        <f>IF(D2="","",VLOOKUP(D2,TemplateCode!$A$2:$C$999,2,FALSE))</f>
        <v>1440</v>
      </c>
      <c r="F2" s="10" t="str">
        <f>IF(D2="","",VLOOKUP(D2,TemplateCode!$A$2:$C$999,3,FALSE))</f>
        <v>Ngày thường</v>
      </c>
      <c r="G2" s="11" t="s">
        <v>52</v>
      </c>
      <c r="H2" s="10" t="str">
        <f>IF(G2="","",VLOOKUP(G2,TemplateCode!$E$2:$G$700,2,FALSE))</f>
        <v>90000456</v>
      </c>
      <c r="I2" s="10" t="str">
        <f>IF(G2="","",VLOOKUP(G2,TemplateCode!$E$2:$G$700,3,FALSE))</f>
        <v>Ca ngày</v>
      </c>
      <c r="J2" s="4" t="s">
        <v>3</v>
      </c>
      <c r="K2" s="4" t="s">
        <v>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.75" customHeight="1">
      <c r="A3" s="15">
        <v>43181308</v>
      </c>
      <c r="B3" s="15" t="s">
        <v>56</v>
      </c>
      <c r="C3" s="12" t="s">
        <v>83</v>
      </c>
      <c r="D3" s="11" t="s">
        <v>17</v>
      </c>
      <c r="E3" s="10" t="str">
        <f>IF(D3="","",VLOOKUP(D3,TemplateCode!$A$2:$C$999,2,FALSE))</f>
        <v>1440</v>
      </c>
      <c r="F3" s="10" t="str">
        <f>IF(D3="","",VLOOKUP(D3,TemplateCode!$A$2:$C$999,3,FALSE))</f>
        <v>Ngày thường</v>
      </c>
      <c r="G3" s="11" t="s">
        <v>52</v>
      </c>
      <c r="H3" s="10" t="str">
        <f>IF(G3="","",VLOOKUP(G3,TemplateCode!$E$2:$G$700,2,FALSE))</f>
        <v>90000456</v>
      </c>
      <c r="I3" s="10" t="str">
        <f>IF(G3="","",VLOOKUP(G3,TemplateCode!$E$2:$G$700,3,FALSE))</f>
        <v>Ca ngày</v>
      </c>
      <c r="J3" s="5"/>
      <c r="K3" s="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 spans="1:29" ht="12.75" customHeight="1">
      <c r="A4" s="16">
        <v>43181355</v>
      </c>
      <c r="B4" s="17" t="s">
        <v>57</v>
      </c>
      <c r="C4" s="12" t="s">
        <v>83</v>
      </c>
      <c r="D4" s="11" t="s">
        <v>17</v>
      </c>
      <c r="E4" s="10" t="str">
        <f>IF(D4="","",VLOOKUP(D4,TemplateCode!$A$2:$C$999,2,FALSE))</f>
        <v>1440</v>
      </c>
      <c r="F4" s="10" t="str">
        <f>IF(D4="","",VLOOKUP(D4,TemplateCode!$A$2:$C$999,3,FALSE))</f>
        <v>Ngày thường</v>
      </c>
      <c r="G4" s="11" t="s">
        <v>52</v>
      </c>
      <c r="H4" s="10" t="str">
        <f>IF(G4="","",VLOOKUP(G4,TemplateCode!$E$2:$G$700,2,FALSE))</f>
        <v>90000456</v>
      </c>
      <c r="I4" s="10" t="str">
        <f>IF(G4="","",VLOOKUP(G4,TemplateCode!$E$2:$G$700,3,FALSE))</f>
        <v>Ca ngày</v>
      </c>
      <c r="J4" s="5" t="s">
        <v>4</v>
      </c>
      <c r="K4" s="5" t="s">
        <v>4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 spans="1:29" ht="15.75">
      <c r="A5" s="15">
        <v>43181462</v>
      </c>
      <c r="B5" s="17" t="s">
        <v>58</v>
      </c>
      <c r="C5" s="12" t="s">
        <v>83</v>
      </c>
      <c r="D5" s="11" t="s">
        <v>17</v>
      </c>
      <c r="E5" s="10" t="str">
        <f>IF(D5="","",VLOOKUP(D5,TemplateCode!$A$2:$C$999,2,FALSE))</f>
        <v>1440</v>
      </c>
      <c r="F5" s="10" t="str">
        <f>IF(D5="","",VLOOKUP(D5,TemplateCode!$A$2:$C$999,3,FALSE))</f>
        <v>Ngày thường</v>
      </c>
      <c r="G5" s="11" t="s">
        <v>52</v>
      </c>
      <c r="H5" s="10" t="str">
        <f>IF(G5="","",VLOOKUP(G5,TemplateCode!$E$2:$G$700,2,FALSE))</f>
        <v>90000456</v>
      </c>
      <c r="I5" s="10" t="str">
        <f>IF(G5="","",VLOOKUP(G5,TemplateCode!$E$2:$G$700,3,FALSE))</f>
        <v>Ca ngày</v>
      </c>
      <c r="J5" s="5" t="s">
        <v>4</v>
      </c>
      <c r="K5" s="5" t="s">
        <v>4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spans="1:29" s="3" customFormat="1" ht="12.75" customHeight="1">
      <c r="A6" s="18">
        <v>43181463</v>
      </c>
      <c r="B6" s="17" t="s">
        <v>59</v>
      </c>
      <c r="C6" s="12" t="s">
        <v>83</v>
      </c>
      <c r="D6" s="11" t="s">
        <v>17</v>
      </c>
      <c r="E6" s="10" t="str">
        <f>IF(D6="","",VLOOKUP(D6,TemplateCode!$A$2:$C$999,2,FALSE))</f>
        <v>1440</v>
      </c>
      <c r="F6" s="10" t="str">
        <f>IF(D6="","",VLOOKUP(D6,TemplateCode!$A$2:$C$999,3,FALSE))</f>
        <v>Ngày thường</v>
      </c>
      <c r="G6" s="11" t="s">
        <v>52</v>
      </c>
      <c r="H6" s="10" t="str">
        <f>IF(G6="","",VLOOKUP(G6,TemplateCode!$E$2:$G$700,2,FALSE))</f>
        <v>90000456</v>
      </c>
      <c r="I6" s="10" t="str">
        <f>IF(G6="","",VLOOKUP(G6,TemplateCode!$E$2:$G$700,3,FALSE))</f>
        <v>Ca ngày</v>
      </c>
      <c r="J6" s="5" t="s">
        <v>4</v>
      </c>
      <c r="K6" s="5" t="s">
        <v>4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 ht="12.75" customHeight="1">
      <c r="A7" s="15">
        <v>43181487</v>
      </c>
      <c r="B7" s="15" t="s">
        <v>60</v>
      </c>
      <c r="C7" s="12" t="s">
        <v>83</v>
      </c>
      <c r="D7" s="11" t="s">
        <v>17</v>
      </c>
      <c r="E7" s="10" t="str">
        <f>IF(D7="","",VLOOKUP(D7,TemplateCode!$A$2:$C$999,2,FALSE))</f>
        <v>1440</v>
      </c>
      <c r="F7" s="10" t="str">
        <f>IF(D7="","",VLOOKUP(D7,TemplateCode!$A$2:$C$999,3,FALSE))</f>
        <v>Ngày thường</v>
      </c>
      <c r="G7" s="11" t="s">
        <v>52</v>
      </c>
      <c r="H7" s="10" t="str">
        <f>IF(G7="","",VLOOKUP(G7,TemplateCode!$E$2:$G$700,2,FALSE))</f>
        <v>90000456</v>
      </c>
      <c r="I7" s="10" t="str">
        <f>IF(G7="","",VLOOKUP(G7,TemplateCode!$E$2:$G$700,3,FALSE))</f>
        <v>Ca ngày</v>
      </c>
      <c r="J7" s="5" t="s">
        <v>4</v>
      </c>
      <c r="K7" s="5" t="s">
        <v>4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29" ht="15" customHeight="1">
      <c r="A8" s="15">
        <v>43181490</v>
      </c>
      <c r="B8" s="15" t="s">
        <v>61</v>
      </c>
      <c r="C8" s="12" t="s">
        <v>83</v>
      </c>
      <c r="D8" s="11" t="s">
        <v>17</v>
      </c>
      <c r="E8" s="10" t="str">
        <f>IF(D8="","",VLOOKUP(D8,TemplateCode!$A$2:$C$999,2,FALSE))</f>
        <v>1440</v>
      </c>
      <c r="F8" s="10" t="str">
        <f>IF(D8="","",VLOOKUP(D8,TemplateCode!$A$2:$C$999,3,FALSE))</f>
        <v>Ngày thường</v>
      </c>
      <c r="G8" s="11" t="s">
        <v>52</v>
      </c>
      <c r="H8" s="10" t="str">
        <f>IF(G8="","",VLOOKUP(G8,TemplateCode!$E$2:$G$700,2,FALSE))</f>
        <v>90000456</v>
      </c>
      <c r="I8" s="10" t="str">
        <f>IF(G8="","",VLOOKUP(G8,TemplateCode!$E$2:$G$700,3,FALSE))</f>
        <v>Ca ngày</v>
      </c>
      <c r="J8" s="5" t="s">
        <v>4</v>
      </c>
      <c r="K8" s="5" t="s">
        <v>4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 spans="1:29" ht="12.75" customHeight="1">
      <c r="A9" s="15">
        <v>43190015</v>
      </c>
      <c r="B9" s="15" t="s">
        <v>62</v>
      </c>
      <c r="C9" s="12" t="s">
        <v>83</v>
      </c>
      <c r="D9" s="11" t="s">
        <v>17</v>
      </c>
      <c r="E9" s="10" t="str">
        <f>IF(D9="","",VLOOKUP(D9,TemplateCode!$A$2:$C$999,2,FALSE))</f>
        <v>1440</v>
      </c>
      <c r="F9" s="10" t="str">
        <f>IF(D9="","",VLOOKUP(D9,TemplateCode!$A$2:$C$999,3,FALSE))</f>
        <v>Ngày thường</v>
      </c>
      <c r="G9" s="11" t="s">
        <v>52</v>
      </c>
      <c r="H9" s="10" t="str">
        <f>IF(G9="","",VLOOKUP(G9,TemplateCode!$E$2:$G$700,2,FALSE))</f>
        <v>90000456</v>
      </c>
      <c r="I9" s="10" t="str">
        <f>IF(G9="","",VLOOKUP(G9,TemplateCode!$E$2:$G$700,3,FALSE))</f>
        <v>Ca ngày</v>
      </c>
      <c r="J9" s="5" t="s">
        <v>4</v>
      </c>
      <c r="K9" s="5" t="s">
        <v>4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1:29" ht="15.75">
      <c r="A10" s="15">
        <v>43190023</v>
      </c>
      <c r="B10" s="15" t="s">
        <v>63</v>
      </c>
      <c r="C10" s="12" t="s">
        <v>83</v>
      </c>
      <c r="D10" s="11" t="s">
        <v>17</v>
      </c>
      <c r="E10" s="10" t="str">
        <f>IF(D10="","",VLOOKUP(D10,TemplateCode!$A$2:$C$999,2,FALSE))</f>
        <v>1440</v>
      </c>
      <c r="F10" s="10" t="str">
        <f>IF(D10="","",VLOOKUP(D10,TemplateCode!$A$2:$C$999,3,FALSE))</f>
        <v>Ngày thường</v>
      </c>
      <c r="G10" s="11" t="s">
        <v>52</v>
      </c>
      <c r="H10" s="10" t="str">
        <f>IF(G10="","",VLOOKUP(G10,TemplateCode!$E$2:$G$700,2,FALSE))</f>
        <v>90000456</v>
      </c>
      <c r="I10" s="10" t="str">
        <f>IF(G10="","",VLOOKUP(G10,TemplateCode!$E$2:$G$700,3,FALSE))</f>
        <v>Ca ngày</v>
      </c>
    </row>
    <row r="11" spans="1:29" ht="15.75">
      <c r="A11" s="15">
        <v>43190030</v>
      </c>
      <c r="B11" s="15" t="s">
        <v>64</v>
      </c>
      <c r="C11" s="12" t="s">
        <v>83</v>
      </c>
      <c r="D11" s="11" t="s">
        <v>17</v>
      </c>
      <c r="E11" s="10" t="str">
        <f>IF(D11="","",VLOOKUP(D11,TemplateCode!$A$2:$C$999,2,FALSE))</f>
        <v>1440</v>
      </c>
      <c r="F11" s="10" t="str">
        <f>IF(D11="","",VLOOKUP(D11,TemplateCode!$A$2:$C$999,3,FALSE))</f>
        <v>Ngày thường</v>
      </c>
      <c r="G11" s="11" t="s">
        <v>52</v>
      </c>
      <c r="H11" s="10" t="str">
        <f>IF(G11="","",VLOOKUP(G11,TemplateCode!$E$2:$G$700,2,FALSE))</f>
        <v>90000456</v>
      </c>
      <c r="I11" s="10" t="str">
        <f>IF(G11="","",VLOOKUP(G11,TemplateCode!$E$2:$G$700,3,FALSE))</f>
        <v>Ca ngày</v>
      </c>
    </row>
    <row r="12" spans="1:29" ht="15.75">
      <c r="A12" s="15">
        <v>43190041</v>
      </c>
      <c r="B12" s="15" t="s">
        <v>65</v>
      </c>
      <c r="C12" s="12" t="s">
        <v>83</v>
      </c>
      <c r="D12" s="11" t="s">
        <v>17</v>
      </c>
      <c r="E12" s="10" t="str">
        <f>IF(D12="","",VLOOKUP(D12,TemplateCode!$A$2:$C$999,2,FALSE))</f>
        <v>1440</v>
      </c>
      <c r="F12" s="10" t="str">
        <f>IF(D12="","",VLOOKUP(D12,TemplateCode!$A$2:$C$999,3,FALSE))</f>
        <v>Ngày thường</v>
      </c>
      <c r="G12" s="11" t="s">
        <v>52</v>
      </c>
      <c r="H12" s="10" t="str">
        <f>IF(G12="","",VLOOKUP(G12,TemplateCode!$E$2:$G$700,2,FALSE))</f>
        <v>90000456</v>
      </c>
      <c r="I12" s="10" t="str">
        <f>IF(G12="","",VLOOKUP(G12,TemplateCode!$E$2:$G$700,3,FALSE))</f>
        <v>Ca ngày</v>
      </c>
    </row>
    <row r="13" spans="1:29" ht="15.75">
      <c r="A13" s="16">
        <v>43190065</v>
      </c>
      <c r="B13" s="15" t="s">
        <v>66</v>
      </c>
      <c r="C13" s="12" t="s">
        <v>83</v>
      </c>
      <c r="D13" s="11" t="s">
        <v>17</v>
      </c>
      <c r="E13" s="10" t="str">
        <f>IF(D13="","",VLOOKUP(D13,TemplateCode!$A$2:$C$999,2,FALSE))</f>
        <v>1440</v>
      </c>
      <c r="F13" s="10" t="str">
        <f>IF(D13="","",VLOOKUP(D13,TemplateCode!$A$2:$C$999,3,FALSE))</f>
        <v>Ngày thường</v>
      </c>
      <c r="G13" s="11" t="s">
        <v>52</v>
      </c>
      <c r="H13" s="10" t="str">
        <f>IF(G13="","",VLOOKUP(G13,TemplateCode!$E$2:$G$700,2,FALSE))</f>
        <v>90000456</v>
      </c>
      <c r="I13" s="10" t="str">
        <f>IF(G13="","",VLOOKUP(G13,TemplateCode!$E$2:$G$700,3,FALSE))</f>
        <v>Ca ngày</v>
      </c>
    </row>
    <row r="14" spans="1:29" ht="15.75">
      <c r="A14" s="16">
        <v>43190105</v>
      </c>
      <c r="B14" s="15" t="s">
        <v>67</v>
      </c>
      <c r="C14" s="12" t="s">
        <v>83</v>
      </c>
      <c r="D14" s="11" t="s">
        <v>17</v>
      </c>
      <c r="E14" s="10" t="str">
        <f>IF(D14="","",VLOOKUP(D14,TemplateCode!$A$2:$C$999,2,FALSE))</f>
        <v>1440</v>
      </c>
      <c r="F14" s="10" t="str">
        <f>IF(D14="","",VLOOKUP(D14,TemplateCode!$A$2:$C$999,3,FALSE))</f>
        <v>Ngày thường</v>
      </c>
      <c r="G14" s="11" t="s">
        <v>52</v>
      </c>
      <c r="H14" s="10" t="str">
        <f>IF(G14="","",VLOOKUP(G14,TemplateCode!$E$2:$G$700,2,FALSE))</f>
        <v>90000456</v>
      </c>
      <c r="I14" s="10" t="str">
        <f>IF(G14="","",VLOOKUP(G14,TemplateCode!$E$2:$G$700,3,FALSE))</f>
        <v>Ca ngày</v>
      </c>
    </row>
    <row r="15" spans="1:29" ht="15.75">
      <c r="A15" s="16">
        <v>43190109</v>
      </c>
      <c r="B15" s="17" t="s">
        <v>68</v>
      </c>
      <c r="C15" s="12" t="s">
        <v>83</v>
      </c>
      <c r="D15" s="11" t="s">
        <v>17</v>
      </c>
      <c r="E15" s="10" t="str">
        <f>IF(D15="","",VLOOKUP(D15,TemplateCode!$A$2:$C$999,2,FALSE))</f>
        <v>1440</v>
      </c>
      <c r="F15" s="10" t="str">
        <f>IF(D15="","",VLOOKUP(D15,TemplateCode!$A$2:$C$999,3,FALSE))</f>
        <v>Ngày thường</v>
      </c>
      <c r="G15" s="11" t="s">
        <v>52</v>
      </c>
      <c r="H15" s="10" t="str">
        <f>IF(G15="","",VLOOKUP(G15,TemplateCode!$E$2:$G$700,2,FALSE))</f>
        <v>90000456</v>
      </c>
      <c r="I15" s="10" t="str">
        <f>IF(G15="","",VLOOKUP(G15,TemplateCode!$E$2:$G$700,3,FALSE))</f>
        <v>Ca ngày</v>
      </c>
    </row>
    <row r="16" spans="1:29" ht="15.75">
      <c r="A16" s="18">
        <v>43190124</v>
      </c>
      <c r="B16" s="17" t="s">
        <v>69</v>
      </c>
      <c r="C16" s="12" t="s">
        <v>83</v>
      </c>
      <c r="D16" s="11" t="s">
        <v>17</v>
      </c>
      <c r="E16" s="10" t="str">
        <f>IF(D16="","",VLOOKUP(D16,TemplateCode!$A$2:$C$999,2,FALSE))</f>
        <v>1440</v>
      </c>
      <c r="F16" s="10" t="str">
        <f>IF(D16="","",VLOOKUP(D16,TemplateCode!$A$2:$C$999,3,FALSE))</f>
        <v>Ngày thường</v>
      </c>
      <c r="G16" s="11" t="s">
        <v>52</v>
      </c>
      <c r="H16" s="10" t="str">
        <f>IF(G16="","",VLOOKUP(G16,TemplateCode!$E$2:$G$700,2,FALSE))</f>
        <v>90000456</v>
      </c>
      <c r="I16" s="10" t="str">
        <f>IF(G16="","",VLOOKUP(G16,TemplateCode!$E$2:$G$700,3,FALSE))</f>
        <v>Ca ngày</v>
      </c>
    </row>
    <row r="17" spans="1:9" ht="15.75">
      <c r="A17" s="15">
        <v>43190125</v>
      </c>
      <c r="B17" s="15" t="s">
        <v>70</v>
      </c>
      <c r="C17" s="12" t="s">
        <v>83</v>
      </c>
      <c r="D17" s="11" t="s">
        <v>17</v>
      </c>
      <c r="E17" s="10" t="str">
        <f>IF(D17="","",VLOOKUP(D17,TemplateCode!$A$2:$C$999,2,FALSE))</f>
        <v>1440</v>
      </c>
      <c r="F17" s="10" t="str">
        <f>IF(D17="","",VLOOKUP(D17,TemplateCode!$A$2:$C$999,3,FALSE))</f>
        <v>Ngày thường</v>
      </c>
      <c r="G17" s="11" t="s">
        <v>52</v>
      </c>
      <c r="H17" s="10" t="str">
        <f>IF(G17="","",VLOOKUP(G17,TemplateCode!$E$2:$G$700,2,FALSE))</f>
        <v>90000456</v>
      </c>
      <c r="I17" s="10" t="str">
        <f>IF(G17="","",VLOOKUP(G17,TemplateCode!$E$2:$G$700,3,FALSE))</f>
        <v>Ca ngày</v>
      </c>
    </row>
    <row r="18" spans="1:9" ht="15.75">
      <c r="A18" s="15">
        <v>43190126</v>
      </c>
      <c r="B18" s="15" t="s">
        <v>71</v>
      </c>
      <c r="C18" s="12" t="s">
        <v>83</v>
      </c>
      <c r="D18" s="11" t="s">
        <v>17</v>
      </c>
      <c r="E18" s="10" t="str">
        <f>IF(D18="","",VLOOKUP(D18,TemplateCode!$A$2:$C$999,2,FALSE))</f>
        <v>1440</v>
      </c>
      <c r="F18" s="10" t="str">
        <f>IF(D18="","",VLOOKUP(D18,TemplateCode!$A$2:$C$999,3,FALSE))</f>
        <v>Ngày thường</v>
      </c>
      <c r="G18" s="11" t="s">
        <v>52</v>
      </c>
      <c r="H18" s="10" t="str">
        <f>IF(G18="","",VLOOKUP(G18,TemplateCode!$E$2:$G$700,2,FALSE))</f>
        <v>90000456</v>
      </c>
      <c r="I18" s="10" t="str">
        <f>IF(G18="","",VLOOKUP(G18,TemplateCode!$E$2:$G$700,3,FALSE))</f>
        <v>Ca ngày</v>
      </c>
    </row>
    <row r="19" spans="1:9" ht="15.75">
      <c r="A19" s="15">
        <v>43190169</v>
      </c>
      <c r="B19" s="15" t="s">
        <v>72</v>
      </c>
      <c r="C19" s="12" t="s">
        <v>83</v>
      </c>
      <c r="D19" s="11" t="s">
        <v>17</v>
      </c>
      <c r="E19" s="10" t="str">
        <f>IF(D19="","",VLOOKUP(D19,TemplateCode!$A$2:$C$999,2,FALSE))</f>
        <v>1440</v>
      </c>
      <c r="F19" s="10" t="str">
        <f>IF(D19="","",VLOOKUP(D19,TemplateCode!$A$2:$C$999,3,FALSE))</f>
        <v>Ngày thường</v>
      </c>
      <c r="G19" s="11" t="s">
        <v>52</v>
      </c>
      <c r="H19" s="10" t="str">
        <f>IF(G19="","",VLOOKUP(G19,TemplateCode!$E$2:$G$700,2,FALSE))</f>
        <v>90000456</v>
      </c>
      <c r="I19" s="10" t="str">
        <f>IF(G19="","",VLOOKUP(G19,TemplateCode!$E$2:$G$700,3,FALSE))</f>
        <v>Ca ngày</v>
      </c>
    </row>
    <row r="20" spans="1:9" ht="15.75">
      <c r="A20" s="16">
        <v>43190163</v>
      </c>
      <c r="B20" s="17" t="s">
        <v>73</v>
      </c>
      <c r="C20" s="12" t="s">
        <v>83</v>
      </c>
      <c r="D20" s="11" t="s">
        <v>17</v>
      </c>
      <c r="E20" s="10" t="str">
        <f>IF(D20="","",VLOOKUP(D20,TemplateCode!$A$2:$C$999,2,FALSE))</f>
        <v>1440</v>
      </c>
      <c r="F20" s="10" t="str">
        <f>IF(D20="","",VLOOKUP(D20,TemplateCode!$A$2:$C$999,3,FALSE))</f>
        <v>Ngày thường</v>
      </c>
      <c r="G20" s="11" t="s">
        <v>52</v>
      </c>
      <c r="H20" s="10" t="str">
        <f>IF(G20="","",VLOOKUP(G20,TemplateCode!$E$2:$G$700,2,FALSE))</f>
        <v>90000456</v>
      </c>
      <c r="I20" s="10" t="str">
        <f>IF(G20="","",VLOOKUP(G20,TemplateCode!$E$2:$G$700,3,FALSE))</f>
        <v>Ca ngày</v>
      </c>
    </row>
    <row r="21" spans="1:9" ht="15.75">
      <c r="A21" s="19">
        <v>43190435</v>
      </c>
      <c r="B21" s="20" t="s">
        <v>74</v>
      </c>
      <c r="C21" s="12" t="s">
        <v>83</v>
      </c>
      <c r="D21" s="11" t="s">
        <v>17</v>
      </c>
      <c r="E21" s="10" t="str">
        <f>IF(D21="","",VLOOKUP(D21,TemplateCode!$A$2:$C$999,2,FALSE))</f>
        <v>1440</v>
      </c>
      <c r="F21" s="10" t="str">
        <f>IF(D21="","",VLOOKUP(D21,TemplateCode!$A$2:$C$999,3,FALSE))</f>
        <v>Ngày thường</v>
      </c>
      <c r="G21" s="11" t="s">
        <v>52</v>
      </c>
      <c r="H21" s="10" t="str">
        <f>IF(G21="","",VLOOKUP(G21,TemplateCode!$E$2:$G$700,2,FALSE))</f>
        <v>90000456</v>
      </c>
      <c r="I21" s="10" t="str">
        <f>IF(G21="","",VLOOKUP(G21,TemplateCode!$E$2:$G$700,3,FALSE))</f>
        <v>Ca ngày</v>
      </c>
    </row>
    <row r="22" spans="1:9" ht="15.75">
      <c r="A22" s="21">
        <v>43190459</v>
      </c>
      <c r="B22" s="20" t="s">
        <v>75</v>
      </c>
      <c r="C22" s="12" t="s">
        <v>83</v>
      </c>
      <c r="D22" s="11" t="s">
        <v>17</v>
      </c>
      <c r="E22" s="10" t="str">
        <f>IF(D22="","",VLOOKUP(D22,TemplateCode!$A$2:$C$999,2,FALSE))</f>
        <v>1440</v>
      </c>
      <c r="F22" s="10" t="str">
        <f>IF(D22="","",VLOOKUP(D22,TemplateCode!$A$2:$C$999,3,FALSE))</f>
        <v>Ngày thường</v>
      </c>
      <c r="G22" s="11" t="s">
        <v>52</v>
      </c>
      <c r="H22" s="10" t="str">
        <f>IF(G22="","",VLOOKUP(G22,TemplateCode!$E$2:$G$700,2,FALSE))</f>
        <v>90000456</v>
      </c>
      <c r="I22" s="10" t="str">
        <f>IF(G22="","",VLOOKUP(G22,TemplateCode!$E$2:$G$700,3,FALSE))</f>
        <v>Ca ngày</v>
      </c>
    </row>
    <row r="23" spans="1:9" ht="15.75">
      <c r="A23" s="19">
        <v>43190506</v>
      </c>
      <c r="B23" s="20" t="s">
        <v>76</v>
      </c>
      <c r="C23" s="12" t="s">
        <v>83</v>
      </c>
      <c r="D23" s="11" t="s">
        <v>17</v>
      </c>
      <c r="E23" s="10" t="str">
        <f>IF(D23="","",VLOOKUP(D23,TemplateCode!$A$2:$C$999,2,FALSE))</f>
        <v>1440</v>
      </c>
      <c r="F23" s="10" t="str">
        <f>IF(D23="","",VLOOKUP(D23,TemplateCode!$A$2:$C$999,3,FALSE))</f>
        <v>Ngày thường</v>
      </c>
      <c r="G23" s="11" t="s">
        <v>52</v>
      </c>
      <c r="H23" s="10" t="str">
        <f>IF(G23="","",VLOOKUP(G23,TemplateCode!$E$2:$G$700,2,FALSE))</f>
        <v>90000456</v>
      </c>
      <c r="I23" s="10" t="str">
        <f>IF(G23="","",VLOOKUP(G23,TemplateCode!$E$2:$G$700,3,FALSE))</f>
        <v>Ca ngày</v>
      </c>
    </row>
    <row r="24" spans="1:9" ht="15.75">
      <c r="A24" s="22">
        <v>43190785</v>
      </c>
      <c r="B24" s="22" t="s">
        <v>77</v>
      </c>
      <c r="C24" s="12" t="s">
        <v>83</v>
      </c>
      <c r="D24" s="11" t="s">
        <v>17</v>
      </c>
      <c r="E24" s="10" t="str">
        <f>IF(D24="","",VLOOKUP(D24,TemplateCode!$A$2:$C$999,2,FALSE))</f>
        <v>1440</v>
      </c>
      <c r="F24" s="10" t="str">
        <f>IF(D24="","",VLOOKUP(D24,TemplateCode!$A$2:$C$999,3,FALSE))</f>
        <v>Ngày thường</v>
      </c>
      <c r="G24" s="11" t="s">
        <v>52</v>
      </c>
      <c r="H24" s="10" t="str">
        <f>IF(G24="","",VLOOKUP(G24,TemplateCode!$E$2:$G$700,2,FALSE))</f>
        <v>90000456</v>
      </c>
      <c r="I24" s="10" t="str">
        <f>IF(G24="","",VLOOKUP(G24,TemplateCode!$E$2:$G$700,3,FALSE))</f>
        <v>Ca ngày</v>
      </c>
    </row>
    <row r="25" spans="1:9" ht="18.75">
      <c r="A25" s="13">
        <v>43190799</v>
      </c>
      <c r="B25" s="23" t="s">
        <v>78</v>
      </c>
      <c r="C25" s="12" t="s">
        <v>83</v>
      </c>
      <c r="D25" s="11" t="s">
        <v>17</v>
      </c>
      <c r="E25" s="10" t="str">
        <f>IF(D25="","",VLOOKUP(D25,TemplateCode!$A$2:$C$999,2,FALSE))</f>
        <v>1440</v>
      </c>
      <c r="F25" s="10" t="str">
        <f>IF(D25="","",VLOOKUP(D25,TemplateCode!$A$2:$C$999,3,FALSE))</f>
        <v>Ngày thường</v>
      </c>
      <c r="G25" s="11" t="s">
        <v>52</v>
      </c>
      <c r="H25" s="10" t="str">
        <f>IF(G25="","",VLOOKUP(G25,TemplateCode!$E$2:$G$700,2,FALSE))</f>
        <v>90000456</v>
      </c>
      <c r="I25" s="10" t="str">
        <f>IF(G25="","",VLOOKUP(G25,TemplateCode!$E$2:$G$700,3,FALSE))</f>
        <v>Ca ngày</v>
      </c>
    </row>
    <row r="26" spans="1:9" ht="18.75">
      <c r="A26" s="13">
        <v>43190800</v>
      </c>
      <c r="B26" s="23" t="s">
        <v>79</v>
      </c>
      <c r="C26" s="12" t="s">
        <v>83</v>
      </c>
      <c r="D26" s="11" t="s">
        <v>17</v>
      </c>
      <c r="E26" s="10" t="str">
        <f>IF(D26="","",VLOOKUP(D26,TemplateCode!$A$2:$C$999,2,FALSE))</f>
        <v>1440</v>
      </c>
      <c r="F26" s="10" t="str">
        <f>IF(D26="","",VLOOKUP(D26,TemplateCode!$A$2:$C$999,3,FALSE))</f>
        <v>Ngày thường</v>
      </c>
      <c r="G26" s="11" t="s">
        <v>52</v>
      </c>
      <c r="H26" s="10" t="str">
        <f>IF(G26="","",VLOOKUP(G26,TemplateCode!$E$2:$G$700,2,FALSE))</f>
        <v>90000456</v>
      </c>
      <c r="I26" s="10" t="str">
        <f>IF(G26="","",VLOOKUP(G26,TemplateCode!$E$2:$G$700,3,FALSE))</f>
        <v>Ca ngày</v>
      </c>
    </row>
    <row r="27" spans="1:9" ht="15.75">
      <c r="A27" s="24">
        <v>43190817</v>
      </c>
      <c r="B27" s="25" t="s">
        <v>80</v>
      </c>
      <c r="C27" s="12" t="s">
        <v>83</v>
      </c>
      <c r="D27" s="11" t="s">
        <v>17</v>
      </c>
      <c r="E27" s="10" t="str">
        <f>IF(D27="","",VLOOKUP(D27,TemplateCode!$A$2:$C$999,2,FALSE))</f>
        <v>1440</v>
      </c>
      <c r="F27" s="10" t="str">
        <f>IF(D27="","",VLOOKUP(D27,TemplateCode!$A$2:$C$999,3,FALSE))</f>
        <v>Ngày thường</v>
      </c>
      <c r="G27" s="11" t="s">
        <v>52</v>
      </c>
      <c r="H27" s="10" t="str">
        <f>IF(G27="","",VLOOKUP(G27,TemplateCode!$E$2:$G$700,2,FALSE))</f>
        <v>90000456</v>
      </c>
      <c r="I27" s="10" t="str">
        <f>IF(G27="","",VLOOKUP(G27,TemplateCode!$E$2:$G$700,3,FALSE))</f>
        <v>Ca ngày</v>
      </c>
    </row>
    <row r="28" spans="1:9" ht="15.75">
      <c r="A28" s="26">
        <v>43190892</v>
      </c>
      <c r="B28" s="22" t="s">
        <v>81</v>
      </c>
      <c r="C28" s="12" t="s">
        <v>83</v>
      </c>
      <c r="D28" s="11" t="s">
        <v>17</v>
      </c>
      <c r="E28" s="10" t="str">
        <f>IF(D28="","",VLOOKUP(D28,TemplateCode!$A$2:$C$999,2,FALSE))</f>
        <v>1440</v>
      </c>
      <c r="F28" s="10" t="str">
        <f>IF(D28="","",VLOOKUP(D28,TemplateCode!$A$2:$C$999,3,FALSE))</f>
        <v>Ngày thường</v>
      </c>
      <c r="G28" s="11" t="s">
        <v>52</v>
      </c>
      <c r="H28" s="10" t="str">
        <f>IF(G28="","",VLOOKUP(G28,TemplateCode!$E$2:$G$700,2,FALSE))</f>
        <v>90000456</v>
      </c>
      <c r="I28" s="10" t="str">
        <f>IF(G28="","",VLOOKUP(G28,TemplateCode!$E$2:$G$700,3,FALSE))</f>
        <v>Ca ngày</v>
      </c>
    </row>
    <row r="29" spans="1:9" ht="15.75">
      <c r="A29" s="26">
        <v>43190893</v>
      </c>
      <c r="B29" s="22" t="s">
        <v>82</v>
      </c>
      <c r="C29" s="12" t="s">
        <v>83</v>
      </c>
      <c r="D29" s="11" t="s">
        <v>17</v>
      </c>
      <c r="E29" s="10" t="str">
        <f>IF(D29="","",VLOOKUP(D29,TemplateCode!$A$2:$C$999,2,FALSE))</f>
        <v>1440</v>
      </c>
      <c r="F29" s="10" t="str">
        <f>IF(D29="","",VLOOKUP(D29,TemplateCode!$A$2:$C$999,3,FALSE))</f>
        <v>Ngày thường</v>
      </c>
      <c r="G29" s="11" t="s">
        <v>52</v>
      </c>
      <c r="H29" s="10" t="str">
        <f>IF(G29="","",VLOOKUP(G29,TemplateCode!$E$2:$G$700,2,FALSE))</f>
        <v>90000456</v>
      </c>
      <c r="I29" s="10" t="str">
        <f>IF(G29="","",VLOOKUP(G29,TemplateCode!$E$2:$G$700,3,FALSE))</f>
        <v>Ca ngày</v>
      </c>
    </row>
    <row r="30" spans="1:9" ht="15.75">
      <c r="A30" s="27">
        <v>43190244</v>
      </c>
      <c r="B30" s="28" t="s">
        <v>84</v>
      </c>
      <c r="C30" s="29" t="s">
        <v>83</v>
      </c>
      <c r="D30" s="30" t="s">
        <v>17</v>
      </c>
      <c r="E30" s="31" t="str">
        <f>IF(D30="","",VLOOKUP(D30,TemplateCode!$A$2:$C$999,2,FALSE))</f>
        <v>1440</v>
      </c>
      <c r="F30" s="31" t="str">
        <f>IF(D30="","",VLOOKUP(D30,TemplateCode!$A$2:$C$999,3,FALSE))</f>
        <v>Ngày thường</v>
      </c>
      <c r="G30" s="30" t="s">
        <v>31</v>
      </c>
      <c r="H30" s="31" t="str">
        <f>IF(G30="","",VLOOKUP(G30,TemplateCode!$E$2:$G$700,2,FALSE))</f>
        <v>14015595</v>
      </c>
      <c r="I30" s="31" t="str">
        <f>IF(G30="","",VLOOKUP(G30,TemplateCode!$E$2:$G$700,3,FALSE))</f>
        <v>Ca đêm</v>
      </c>
    </row>
    <row r="31" spans="1:9" ht="15.75">
      <c r="A31" s="32">
        <v>43190464</v>
      </c>
      <c r="B31" s="33" t="s">
        <v>85</v>
      </c>
      <c r="C31" s="29" t="s">
        <v>83</v>
      </c>
      <c r="D31" s="30" t="s">
        <v>17</v>
      </c>
      <c r="E31" s="31" t="str">
        <f>IF(D31="","",VLOOKUP(D31,TemplateCode!$A$2:$C$999,2,FALSE))</f>
        <v>1440</v>
      </c>
      <c r="F31" s="31" t="str">
        <f>IF(D31="","",VLOOKUP(D31,TemplateCode!$A$2:$C$999,3,FALSE))</f>
        <v>Ngày thường</v>
      </c>
      <c r="G31" s="30" t="s">
        <v>31</v>
      </c>
      <c r="H31" s="31" t="str">
        <f>IF(G31="","",VLOOKUP(G31,TemplateCode!$E$2:$G$700,2,FALSE))</f>
        <v>14015595</v>
      </c>
      <c r="I31" s="31" t="str">
        <f>IF(G31="","",VLOOKUP(G31,TemplateCode!$E$2:$G$700,3,FALSE))</f>
        <v>Ca đêm</v>
      </c>
    </row>
    <row r="32" spans="1:9" ht="15.75">
      <c r="A32" s="34">
        <v>43180875</v>
      </c>
      <c r="B32" s="34" t="s">
        <v>86</v>
      </c>
      <c r="C32" s="29" t="s">
        <v>83</v>
      </c>
      <c r="D32" s="30" t="s">
        <v>17</v>
      </c>
      <c r="E32" s="31" t="str">
        <f>IF(D32="","",VLOOKUP(D32,TemplateCode!$A$2:$C$999,2,FALSE))</f>
        <v>1440</v>
      </c>
      <c r="F32" s="31" t="str">
        <f>IF(D32="","",VLOOKUP(D32,TemplateCode!$A$2:$C$999,3,FALSE))</f>
        <v>Ngày thường</v>
      </c>
      <c r="G32" s="30" t="s">
        <v>31</v>
      </c>
      <c r="H32" s="31" t="str">
        <f>IF(G32="","",VLOOKUP(G32,TemplateCode!$E$2:$G$700,2,FALSE))</f>
        <v>14015595</v>
      </c>
      <c r="I32" s="31" t="str">
        <f>IF(G32="","",VLOOKUP(G32,TemplateCode!$E$2:$G$700,3,FALSE))</f>
        <v>Ca đêm</v>
      </c>
    </row>
    <row r="33" spans="1:9" ht="15.75">
      <c r="A33" s="34">
        <v>43180879</v>
      </c>
      <c r="B33" s="34" t="s">
        <v>87</v>
      </c>
      <c r="C33" s="29" t="s">
        <v>83</v>
      </c>
      <c r="D33" s="30" t="s">
        <v>17</v>
      </c>
      <c r="E33" s="31" t="str">
        <f>IF(D33="","",VLOOKUP(D33,TemplateCode!$A$2:$C$999,2,FALSE))</f>
        <v>1440</v>
      </c>
      <c r="F33" s="31" t="str">
        <f>IF(D33="","",VLOOKUP(D33,TemplateCode!$A$2:$C$999,3,FALSE))</f>
        <v>Ngày thường</v>
      </c>
      <c r="G33" s="30" t="s">
        <v>31</v>
      </c>
      <c r="H33" s="31" t="str">
        <f>IF(G33="","",VLOOKUP(G33,TemplateCode!$E$2:$G$700,2,FALSE))</f>
        <v>14015595</v>
      </c>
      <c r="I33" s="31" t="str">
        <f>IF(G33="","",VLOOKUP(G33,TemplateCode!$E$2:$G$700,3,FALSE))</f>
        <v>Ca đêm</v>
      </c>
    </row>
    <row r="34" spans="1:9" ht="15.75">
      <c r="A34" s="27">
        <v>43181074</v>
      </c>
      <c r="B34" s="34" t="s">
        <v>88</v>
      </c>
      <c r="C34" s="29" t="s">
        <v>83</v>
      </c>
      <c r="D34" s="30" t="s">
        <v>17</v>
      </c>
      <c r="E34" s="31" t="str">
        <f>IF(D34="","",VLOOKUP(D34,TemplateCode!$A$2:$C$999,2,FALSE))</f>
        <v>1440</v>
      </c>
      <c r="F34" s="31" t="str">
        <f>IF(D34="","",VLOOKUP(D34,TemplateCode!$A$2:$C$999,3,FALSE))</f>
        <v>Ngày thường</v>
      </c>
      <c r="G34" s="30" t="s">
        <v>31</v>
      </c>
      <c r="H34" s="31" t="str">
        <f>IF(G34="","",VLOOKUP(G34,TemplateCode!$E$2:$G$700,2,FALSE))</f>
        <v>14015595</v>
      </c>
      <c r="I34" s="31" t="str">
        <f>IF(G34="","",VLOOKUP(G34,TemplateCode!$E$2:$G$700,3,FALSE))</f>
        <v>Ca đêm</v>
      </c>
    </row>
    <row r="35" spans="1:9" ht="15.75">
      <c r="A35" s="35">
        <v>43180750</v>
      </c>
      <c r="B35" s="28" t="s">
        <v>89</v>
      </c>
      <c r="C35" s="29" t="s">
        <v>83</v>
      </c>
      <c r="D35" s="30" t="s">
        <v>17</v>
      </c>
      <c r="E35" s="31" t="str">
        <f>IF(D35="","",VLOOKUP(D35,TemplateCode!$A$2:$C$999,2,FALSE))</f>
        <v>1440</v>
      </c>
      <c r="F35" s="31" t="str">
        <f>IF(D35="","",VLOOKUP(D35,TemplateCode!$A$2:$C$999,3,FALSE))</f>
        <v>Ngày thường</v>
      </c>
      <c r="G35" s="30" t="s">
        <v>31</v>
      </c>
      <c r="H35" s="31" t="str">
        <f>IF(G35="","",VLOOKUP(G35,TemplateCode!$E$2:$G$700,2,FALSE))</f>
        <v>14015595</v>
      </c>
      <c r="I35" s="31" t="str">
        <f>IF(G35="","",VLOOKUP(G35,TemplateCode!$E$2:$G$700,3,FALSE))</f>
        <v>Ca đêm</v>
      </c>
    </row>
    <row r="36" spans="1:9" ht="15.75">
      <c r="A36" s="35">
        <v>43181362</v>
      </c>
      <c r="B36" s="28" t="s">
        <v>90</v>
      </c>
      <c r="C36" s="29" t="s">
        <v>83</v>
      </c>
      <c r="D36" s="30" t="s">
        <v>17</v>
      </c>
      <c r="E36" s="31" t="str">
        <f>IF(D36="","",VLOOKUP(D36,TemplateCode!$A$2:$C$999,2,FALSE))</f>
        <v>1440</v>
      </c>
      <c r="F36" s="31" t="str">
        <f>IF(D36="","",VLOOKUP(D36,TemplateCode!$A$2:$C$999,3,FALSE))</f>
        <v>Ngày thường</v>
      </c>
      <c r="G36" s="30" t="s">
        <v>31</v>
      </c>
      <c r="H36" s="31" t="str">
        <f>IF(G36="","",VLOOKUP(G36,TemplateCode!$E$2:$G$700,2,FALSE))</f>
        <v>14015595</v>
      </c>
      <c r="I36" s="31" t="str">
        <f>IF(G36="","",VLOOKUP(G36,TemplateCode!$E$2:$G$700,3,FALSE))</f>
        <v>Ca đêm</v>
      </c>
    </row>
    <row r="37" spans="1:9" ht="15.75">
      <c r="A37" s="35">
        <v>43181479</v>
      </c>
      <c r="B37" s="28" t="s">
        <v>91</v>
      </c>
      <c r="C37" s="29" t="s">
        <v>83</v>
      </c>
      <c r="D37" s="30" t="s">
        <v>17</v>
      </c>
      <c r="E37" s="31" t="str">
        <f>IF(D37="","",VLOOKUP(D37,TemplateCode!$A$2:$C$999,2,FALSE))</f>
        <v>1440</v>
      </c>
      <c r="F37" s="31" t="str">
        <f>IF(D37="","",VLOOKUP(D37,TemplateCode!$A$2:$C$999,3,FALSE))</f>
        <v>Ngày thường</v>
      </c>
      <c r="G37" s="30" t="s">
        <v>31</v>
      </c>
      <c r="H37" s="31" t="str">
        <f>IF(G37="","",VLOOKUP(G37,TemplateCode!$E$2:$G$700,2,FALSE))</f>
        <v>14015595</v>
      </c>
      <c r="I37" s="31" t="str">
        <f>IF(G37="","",VLOOKUP(G37,TemplateCode!$E$2:$G$700,3,FALSE))</f>
        <v>Ca đêm</v>
      </c>
    </row>
    <row r="38" spans="1:9" ht="15.75">
      <c r="A38" s="35">
        <v>43190068</v>
      </c>
      <c r="B38" s="28" t="s">
        <v>92</v>
      </c>
      <c r="C38" s="29" t="s">
        <v>83</v>
      </c>
      <c r="D38" s="30" t="s">
        <v>17</v>
      </c>
      <c r="E38" s="31" t="str">
        <f>IF(D38="","",VLOOKUP(D38,TemplateCode!$A$2:$C$999,2,FALSE))</f>
        <v>1440</v>
      </c>
      <c r="F38" s="31" t="str">
        <f>IF(D38="","",VLOOKUP(D38,TemplateCode!$A$2:$C$999,3,FALSE))</f>
        <v>Ngày thường</v>
      </c>
      <c r="G38" s="30" t="s">
        <v>31</v>
      </c>
      <c r="H38" s="31" t="str">
        <f>IF(G38="","",VLOOKUP(G38,TemplateCode!$E$2:$G$700,2,FALSE))</f>
        <v>14015595</v>
      </c>
      <c r="I38" s="31" t="str">
        <f>IF(G38="","",VLOOKUP(G38,TemplateCode!$E$2:$G$700,3,FALSE))</f>
        <v>Ca đêm</v>
      </c>
    </row>
    <row r="39" spans="1:9" ht="15.75">
      <c r="A39" s="35">
        <v>43190084</v>
      </c>
      <c r="B39" s="28" t="s">
        <v>93</v>
      </c>
      <c r="C39" s="29" t="s">
        <v>83</v>
      </c>
      <c r="D39" s="30" t="s">
        <v>17</v>
      </c>
      <c r="E39" s="31" t="str">
        <f>IF(D39="","",VLOOKUP(D39,TemplateCode!$A$2:$C$999,2,FALSE))</f>
        <v>1440</v>
      </c>
      <c r="F39" s="31" t="str">
        <f>IF(D39="","",VLOOKUP(D39,TemplateCode!$A$2:$C$999,3,FALSE))</f>
        <v>Ngày thường</v>
      </c>
      <c r="G39" s="30" t="s">
        <v>31</v>
      </c>
      <c r="H39" s="31" t="str">
        <f>IF(G39="","",VLOOKUP(G39,TemplateCode!$E$2:$G$700,2,FALSE))</f>
        <v>14015595</v>
      </c>
      <c r="I39" s="31" t="str">
        <f>IF(G39="","",VLOOKUP(G39,TemplateCode!$E$2:$G$700,3,FALSE))</f>
        <v>Ca đêm</v>
      </c>
    </row>
    <row r="40" spans="1:9" ht="15.75">
      <c r="A40" s="27">
        <v>43190108</v>
      </c>
      <c r="B40" s="28" t="s">
        <v>94</v>
      </c>
      <c r="C40" s="29" t="s">
        <v>83</v>
      </c>
      <c r="D40" s="30" t="s">
        <v>17</v>
      </c>
      <c r="E40" s="31" t="str">
        <f>IF(D40="","",VLOOKUP(D40,TemplateCode!$A$2:$C$999,2,FALSE))</f>
        <v>1440</v>
      </c>
      <c r="F40" s="31" t="str">
        <f>IF(D40="","",VLOOKUP(D40,TemplateCode!$A$2:$C$999,3,FALSE))</f>
        <v>Ngày thường</v>
      </c>
      <c r="G40" s="30" t="s">
        <v>31</v>
      </c>
      <c r="H40" s="31" t="str">
        <f>IF(G40="","",VLOOKUP(G40,TemplateCode!$E$2:$G$700,2,FALSE))</f>
        <v>14015595</v>
      </c>
      <c r="I40" s="31" t="str">
        <f>IF(G40="","",VLOOKUP(G40,TemplateCode!$E$2:$G$700,3,FALSE))</f>
        <v>Ca đêm</v>
      </c>
    </row>
    <row r="41" spans="1:9" ht="15.75">
      <c r="A41" s="34">
        <v>43190107</v>
      </c>
      <c r="B41" s="34" t="s">
        <v>95</v>
      </c>
      <c r="C41" s="29" t="s">
        <v>83</v>
      </c>
      <c r="D41" s="30" t="s">
        <v>17</v>
      </c>
      <c r="E41" s="31" t="str">
        <f>IF(D41="","",VLOOKUP(D41,TemplateCode!$A$2:$C$999,2,FALSE))</f>
        <v>1440</v>
      </c>
      <c r="F41" s="31" t="str">
        <f>IF(D41="","",VLOOKUP(D41,TemplateCode!$A$2:$C$999,3,FALSE))</f>
        <v>Ngày thường</v>
      </c>
      <c r="G41" s="30" t="s">
        <v>31</v>
      </c>
      <c r="H41" s="31" t="str">
        <f>IF(G41="","",VLOOKUP(G41,TemplateCode!$E$2:$G$700,2,FALSE))</f>
        <v>14015595</v>
      </c>
      <c r="I41" s="31" t="str">
        <f>IF(G41="","",VLOOKUP(G41,TemplateCode!$E$2:$G$700,3,FALSE))</f>
        <v>Ca đêm</v>
      </c>
    </row>
    <row r="42" spans="1:9" ht="15.75">
      <c r="A42" s="27">
        <v>43190129</v>
      </c>
      <c r="B42" s="28" t="s">
        <v>96</v>
      </c>
      <c r="C42" s="29" t="s">
        <v>83</v>
      </c>
      <c r="D42" s="30" t="s">
        <v>17</v>
      </c>
      <c r="E42" s="31" t="str">
        <f>IF(D42="","",VLOOKUP(D42,TemplateCode!$A$2:$C$999,2,FALSE))</f>
        <v>1440</v>
      </c>
      <c r="F42" s="31" t="str">
        <f>IF(D42="","",VLOOKUP(D42,TemplateCode!$A$2:$C$999,3,FALSE))</f>
        <v>Ngày thường</v>
      </c>
      <c r="G42" s="30" t="s">
        <v>31</v>
      </c>
      <c r="H42" s="31" t="str">
        <f>IF(G42="","",VLOOKUP(G42,TemplateCode!$E$2:$G$700,2,FALSE))</f>
        <v>14015595</v>
      </c>
      <c r="I42" s="31" t="str">
        <f>IF(G42="","",VLOOKUP(G42,TemplateCode!$E$2:$G$700,3,FALSE))</f>
        <v>Ca đêm</v>
      </c>
    </row>
    <row r="43" spans="1:9" ht="15.75">
      <c r="A43" s="34">
        <v>43190248</v>
      </c>
      <c r="B43" s="34" t="s">
        <v>97</v>
      </c>
      <c r="C43" s="29" t="s">
        <v>83</v>
      </c>
      <c r="D43" s="30" t="s">
        <v>17</v>
      </c>
      <c r="E43" s="31" t="str">
        <f>IF(D43="","",VLOOKUP(D43,TemplateCode!$A$2:$C$999,2,FALSE))</f>
        <v>1440</v>
      </c>
      <c r="F43" s="31" t="str">
        <f>IF(D43="","",VLOOKUP(D43,TemplateCode!$A$2:$C$999,3,FALSE))</f>
        <v>Ngày thường</v>
      </c>
      <c r="G43" s="30" t="s">
        <v>31</v>
      </c>
      <c r="H43" s="31" t="str">
        <f>IF(G43="","",VLOOKUP(G43,TemplateCode!$E$2:$G$700,2,FALSE))</f>
        <v>14015595</v>
      </c>
      <c r="I43" s="31" t="str">
        <f>IF(G43="","",VLOOKUP(G43,TemplateCode!$E$2:$G$700,3,FALSE))</f>
        <v>Ca đêm</v>
      </c>
    </row>
    <row r="44" spans="1:9" ht="15.75">
      <c r="A44" s="34">
        <v>43190251</v>
      </c>
      <c r="B44" s="34" t="s">
        <v>98</v>
      </c>
      <c r="C44" s="29" t="s">
        <v>83</v>
      </c>
      <c r="D44" s="30" t="s">
        <v>17</v>
      </c>
      <c r="E44" s="31" t="str">
        <f>IF(D44="","",VLOOKUP(D44,TemplateCode!$A$2:$C$999,2,FALSE))</f>
        <v>1440</v>
      </c>
      <c r="F44" s="31" t="str">
        <f>IF(D44="","",VLOOKUP(D44,TemplateCode!$A$2:$C$999,3,FALSE))</f>
        <v>Ngày thường</v>
      </c>
      <c r="G44" s="30" t="s">
        <v>31</v>
      </c>
      <c r="H44" s="31" t="str">
        <f>IF(G44="","",VLOOKUP(G44,TemplateCode!$E$2:$G$700,2,FALSE))</f>
        <v>14015595</v>
      </c>
      <c r="I44" s="31" t="str">
        <f>IF(G44="","",VLOOKUP(G44,TemplateCode!$E$2:$G$700,3,FALSE))</f>
        <v>Ca đêm</v>
      </c>
    </row>
    <row r="45" spans="1:9" ht="15.75">
      <c r="A45" s="34">
        <v>43190278</v>
      </c>
      <c r="B45" s="34" t="s">
        <v>99</v>
      </c>
      <c r="C45" s="29" t="s">
        <v>83</v>
      </c>
      <c r="D45" s="30" t="s">
        <v>17</v>
      </c>
      <c r="E45" s="31" t="str">
        <f>IF(D45="","",VLOOKUP(D45,TemplateCode!$A$2:$C$999,2,FALSE))</f>
        <v>1440</v>
      </c>
      <c r="F45" s="31" t="str">
        <f>IF(D45="","",VLOOKUP(D45,TemplateCode!$A$2:$C$999,3,FALSE))</f>
        <v>Ngày thường</v>
      </c>
      <c r="G45" s="30" t="s">
        <v>31</v>
      </c>
      <c r="H45" s="31" t="str">
        <f>IF(G45="","",VLOOKUP(G45,TemplateCode!$E$2:$G$700,2,FALSE))</f>
        <v>14015595</v>
      </c>
      <c r="I45" s="31" t="str">
        <f>IF(G45="","",VLOOKUP(G45,TemplateCode!$E$2:$G$700,3,FALSE))</f>
        <v>Ca đêm</v>
      </c>
    </row>
    <row r="46" spans="1:9" ht="15.75">
      <c r="A46" s="36">
        <v>43190385</v>
      </c>
      <c r="B46" s="33" t="s">
        <v>100</v>
      </c>
      <c r="C46" s="29" t="s">
        <v>83</v>
      </c>
      <c r="D46" s="30" t="s">
        <v>17</v>
      </c>
      <c r="E46" s="31" t="str">
        <f>IF(D46="","",VLOOKUP(D46,TemplateCode!$A$2:$C$999,2,FALSE))</f>
        <v>1440</v>
      </c>
      <c r="F46" s="31" t="str">
        <f>IF(D46="","",VLOOKUP(D46,TemplateCode!$A$2:$C$999,3,FALSE))</f>
        <v>Ngày thường</v>
      </c>
      <c r="G46" s="30" t="s">
        <v>31</v>
      </c>
      <c r="H46" s="31" t="str">
        <f>IF(G46="","",VLOOKUP(G46,TemplateCode!$E$2:$G$700,2,FALSE))</f>
        <v>14015595</v>
      </c>
      <c r="I46" s="31" t="str">
        <f>IF(G46="","",VLOOKUP(G46,TemplateCode!$E$2:$G$700,3,FALSE))</f>
        <v>Ca đêm</v>
      </c>
    </row>
    <row r="47" spans="1:9" ht="15.75">
      <c r="A47" s="36">
        <v>43190389</v>
      </c>
      <c r="B47" s="33" t="s">
        <v>101</v>
      </c>
      <c r="C47" s="29" t="s">
        <v>83</v>
      </c>
      <c r="D47" s="30" t="s">
        <v>17</v>
      </c>
      <c r="E47" s="31" t="str">
        <f>IF(D47="","",VLOOKUP(D47,TemplateCode!$A$2:$C$999,2,FALSE))</f>
        <v>1440</v>
      </c>
      <c r="F47" s="31" t="str">
        <f>IF(D47="","",VLOOKUP(D47,TemplateCode!$A$2:$C$999,3,FALSE))</f>
        <v>Ngày thường</v>
      </c>
      <c r="G47" s="30" t="s">
        <v>31</v>
      </c>
      <c r="H47" s="31" t="str">
        <f>IF(G47="","",VLOOKUP(G47,TemplateCode!$E$2:$G$700,2,FALSE))</f>
        <v>14015595</v>
      </c>
      <c r="I47" s="31" t="str">
        <f>IF(G47="","",VLOOKUP(G47,TemplateCode!$E$2:$G$700,3,FALSE))</f>
        <v>Ca đêm</v>
      </c>
    </row>
    <row r="48" spans="1:9" ht="15.75">
      <c r="A48" s="35">
        <v>43181469</v>
      </c>
      <c r="B48" s="28" t="s">
        <v>102</v>
      </c>
      <c r="C48" s="29" t="s">
        <v>83</v>
      </c>
      <c r="D48" s="30" t="s">
        <v>17</v>
      </c>
      <c r="E48" s="31" t="str">
        <f>IF(D48="","",VLOOKUP(D48,TemplateCode!$A$2:$C$999,2,FALSE))</f>
        <v>1440</v>
      </c>
      <c r="F48" s="31" t="str">
        <f>IF(D48="","",VLOOKUP(D48,TemplateCode!$A$2:$C$999,3,FALSE))</f>
        <v>Ngày thường</v>
      </c>
      <c r="G48" s="30" t="s">
        <v>31</v>
      </c>
      <c r="H48" s="31" t="str">
        <f>IF(G48="","",VLOOKUP(G48,TemplateCode!$E$2:$G$700,2,FALSE))</f>
        <v>14015595</v>
      </c>
      <c r="I48" s="31" t="str">
        <f>IF(G48="","",VLOOKUP(G48,TemplateCode!$E$2:$G$700,3,FALSE))</f>
        <v>Ca đêm</v>
      </c>
    </row>
    <row r="49" spans="1:9" ht="15.75">
      <c r="A49" s="36">
        <v>43190403</v>
      </c>
      <c r="B49" s="33" t="s">
        <v>103</v>
      </c>
      <c r="C49" s="29" t="s">
        <v>83</v>
      </c>
      <c r="D49" s="30" t="s">
        <v>17</v>
      </c>
      <c r="E49" s="31" t="str">
        <f>IF(D49="","",VLOOKUP(D49,TemplateCode!$A$2:$C$999,2,FALSE))</f>
        <v>1440</v>
      </c>
      <c r="F49" s="31" t="str">
        <f>IF(D49="","",VLOOKUP(D49,TemplateCode!$A$2:$C$999,3,FALSE))</f>
        <v>Ngày thường</v>
      </c>
      <c r="G49" s="30" t="s">
        <v>31</v>
      </c>
      <c r="H49" s="31" t="str">
        <f>IF(G49="","",VLOOKUP(G49,TemplateCode!$E$2:$G$700,2,FALSE))</f>
        <v>14015595</v>
      </c>
      <c r="I49" s="31" t="str">
        <f>IF(G49="","",VLOOKUP(G49,TemplateCode!$E$2:$G$700,3,FALSE))</f>
        <v>Ca đêm</v>
      </c>
    </row>
    <row r="50" spans="1:9" ht="15.75">
      <c r="A50" s="34">
        <v>43190018</v>
      </c>
      <c r="B50" s="34" t="s">
        <v>104</v>
      </c>
      <c r="C50" s="29" t="s">
        <v>83</v>
      </c>
      <c r="D50" s="30" t="s">
        <v>17</v>
      </c>
      <c r="E50" s="31" t="str">
        <f>IF(D50="","",VLOOKUP(D50,TemplateCode!$A$2:$C$999,2,FALSE))</f>
        <v>1440</v>
      </c>
      <c r="F50" s="31" t="str">
        <f>IF(D50="","",VLOOKUP(D50,TemplateCode!$A$2:$C$999,3,FALSE))</f>
        <v>Ngày thường</v>
      </c>
      <c r="G50" s="30" t="s">
        <v>31</v>
      </c>
      <c r="H50" s="31" t="str">
        <f>IF(G50="","",VLOOKUP(G50,TemplateCode!$E$2:$G$700,2,FALSE))</f>
        <v>14015595</v>
      </c>
      <c r="I50" s="31" t="str">
        <f>IF(G50="","",VLOOKUP(G50,TemplateCode!$E$2:$G$700,3,FALSE))</f>
        <v>Ca đêm</v>
      </c>
    </row>
    <row r="51" spans="1:9" ht="15.75">
      <c r="A51" s="36">
        <v>43190460</v>
      </c>
      <c r="B51" s="33" t="s">
        <v>105</v>
      </c>
      <c r="C51" s="29" t="s">
        <v>83</v>
      </c>
      <c r="D51" s="30" t="s">
        <v>17</v>
      </c>
      <c r="E51" s="31" t="str">
        <f>IF(D51="","",VLOOKUP(D51,TemplateCode!$A$2:$C$999,2,FALSE))</f>
        <v>1440</v>
      </c>
      <c r="F51" s="31" t="str">
        <f>IF(D51="","",VLOOKUP(D51,TemplateCode!$A$2:$C$999,3,FALSE))</f>
        <v>Ngày thường</v>
      </c>
      <c r="G51" s="30" t="s">
        <v>31</v>
      </c>
      <c r="H51" s="31" t="str">
        <f>IF(G51="","",VLOOKUP(G51,TemplateCode!$E$2:$G$700,2,FALSE))</f>
        <v>14015595</v>
      </c>
      <c r="I51" s="31" t="str">
        <f>IF(G51="","",VLOOKUP(G51,TemplateCode!$E$2:$G$700,3,FALSE))</f>
        <v>Ca đêm</v>
      </c>
    </row>
    <row r="52" spans="1:9" ht="15.75">
      <c r="A52" s="27">
        <v>43181073</v>
      </c>
      <c r="B52" s="34" t="s">
        <v>106</v>
      </c>
      <c r="C52" s="29" t="s">
        <v>83</v>
      </c>
      <c r="D52" s="30" t="s">
        <v>17</v>
      </c>
      <c r="E52" s="31" t="str">
        <f>IF(D52="","",VLOOKUP(D52,TemplateCode!$A$2:$C$999,2,FALSE))</f>
        <v>1440</v>
      </c>
      <c r="F52" s="31" t="str">
        <f>IF(D52="","",VLOOKUP(D52,TemplateCode!$A$2:$C$999,3,FALSE))</f>
        <v>Ngày thường</v>
      </c>
      <c r="G52" s="30" t="s">
        <v>31</v>
      </c>
      <c r="H52" s="31" t="str">
        <f>IF(G52="","",VLOOKUP(G52,TemplateCode!$E$2:$G$700,2,FALSE))</f>
        <v>14015595</v>
      </c>
      <c r="I52" s="31" t="str">
        <f>IF(G52="","",VLOOKUP(G52,TemplateCode!$E$2:$G$700,3,FALSE))</f>
        <v>Ca đêm</v>
      </c>
    </row>
    <row r="53" spans="1:9" ht="15.75">
      <c r="A53" s="34">
        <v>43190445</v>
      </c>
      <c r="B53" s="34" t="s">
        <v>107</v>
      </c>
      <c r="C53" s="29" t="s">
        <v>83</v>
      </c>
      <c r="D53" s="30" t="s">
        <v>17</v>
      </c>
      <c r="E53" s="31" t="str">
        <f>IF(D53="","",VLOOKUP(D53,TemplateCode!$A$2:$C$999,2,FALSE))</f>
        <v>1440</v>
      </c>
      <c r="F53" s="31" t="str">
        <f>IF(D53="","",VLOOKUP(D53,TemplateCode!$A$2:$C$999,3,FALSE))</f>
        <v>Ngày thường</v>
      </c>
      <c r="G53" s="30" t="s">
        <v>31</v>
      </c>
      <c r="H53" s="31" t="str">
        <f>IF(G53="","",VLOOKUP(G53,TemplateCode!$E$2:$G$700,2,FALSE))</f>
        <v>14015595</v>
      </c>
      <c r="I53" s="31" t="str">
        <f>IF(G53="","",VLOOKUP(G53,TemplateCode!$E$2:$G$700,3,FALSE))</f>
        <v>Ca đêm</v>
      </c>
    </row>
    <row r="54" spans="1:9" ht="15.75">
      <c r="A54" s="34">
        <v>43190243</v>
      </c>
      <c r="B54" s="34" t="s">
        <v>108</v>
      </c>
      <c r="C54" s="29" t="s">
        <v>83</v>
      </c>
      <c r="D54" s="30" t="s">
        <v>17</v>
      </c>
      <c r="E54" s="31" t="str">
        <f>IF(D54="","",VLOOKUP(D54,TemplateCode!$A$2:$C$999,2,FALSE))</f>
        <v>1440</v>
      </c>
      <c r="F54" s="31" t="str">
        <f>IF(D54="","",VLOOKUP(D54,TemplateCode!$A$2:$C$999,3,FALSE))</f>
        <v>Ngày thường</v>
      </c>
      <c r="G54" s="30" t="s">
        <v>31</v>
      </c>
      <c r="H54" s="31" t="str">
        <f>IF(G54="","",VLOOKUP(G54,TemplateCode!$E$2:$G$700,2,FALSE))</f>
        <v>14015595</v>
      </c>
      <c r="I54" s="31" t="str">
        <f>IF(G54="","",VLOOKUP(G54,TemplateCode!$E$2:$G$700,3,FALSE))</f>
        <v>Ca đêm</v>
      </c>
    </row>
    <row r="55" spans="1:9" ht="15.75">
      <c r="A55" s="37">
        <v>43190805</v>
      </c>
      <c r="B55" s="37" t="s">
        <v>109</v>
      </c>
      <c r="C55" s="29" t="s">
        <v>83</v>
      </c>
      <c r="D55" s="30" t="s">
        <v>17</v>
      </c>
      <c r="E55" s="31" t="str">
        <f>IF(D55="","",VLOOKUP(D55,TemplateCode!$A$2:$C$999,2,FALSE))</f>
        <v>1440</v>
      </c>
      <c r="F55" s="31" t="str">
        <f>IF(D55="","",VLOOKUP(D55,TemplateCode!$A$2:$C$999,3,FALSE))</f>
        <v>Ngày thường</v>
      </c>
      <c r="G55" s="30" t="s">
        <v>31</v>
      </c>
      <c r="H55" s="31" t="str">
        <f>IF(G55="","",VLOOKUP(G55,TemplateCode!$E$2:$G$700,2,FALSE))</f>
        <v>14015595</v>
      </c>
      <c r="I55" s="31" t="str">
        <f>IF(G55="","",VLOOKUP(G55,TemplateCode!$E$2:$G$700,3,FALSE))</f>
        <v>Ca đêm</v>
      </c>
    </row>
    <row r="56" spans="1:9" ht="15.75">
      <c r="A56" s="14">
        <v>43181429</v>
      </c>
      <c r="B56" s="14" t="s">
        <v>55</v>
      </c>
      <c r="C56" s="12" t="s">
        <v>110</v>
      </c>
      <c r="D56" s="11" t="s">
        <v>17</v>
      </c>
      <c r="E56" s="10" t="str">
        <f>IF(D56="","",VLOOKUP(D56,TemplateCode!$A$2:$C$999,2,FALSE))</f>
        <v>1440</v>
      </c>
      <c r="F56" s="10" t="str">
        <f>IF(D56="","",VLOOKUP(D56,TemplateCode!$A$2:$C$999,3,FALSE))</f>
        <v>Ngày thường</v>
      </c>
      <c r="G56" s="11" t="s">
        <v>52</v>
      </c>
      <c r="H56" s="10" t="str">
        <f>IF(G56="","",VLOOKUP(G56,TemplateCode!$E$2:$G$700,2,FALSE))</f>
        <v>90000456</v>
      </c>
      <c r="I56" s="10" t="str">
        <f>IF(G56="","",VLOOKUP(G56,TemplateCode!$E$2:$G$700,3,FALSE))</f>
        <v>Ca ngày</v>
      </c>
    </row>
    <row r="57" spans="1:9" ht="15.75">
      <c r="A57" s="15">
        <v>43181308</v>
      </c>
      <c r="B57" s="15" t="s">
        <v>56</v>
      </c>
      <c r="C57" s="12" t="s">
        <v>110</v>
      </c>
      <c r="D57" s="11" t="s">
        <v>17</v>
      </c>
      <c r="E57" s="10" t="str">
        <f>IF(D57="","",VLOOKUP(D57,TemplateCode!$A$2:$C$999,2,FALSE))</f>
        <v>1440</v>
      </c>
      <c r="F57" s="10" t="str">
        <f>IF(D57="","",VLOOKUP(D57,TemplateCode!$A$2:$C$999,3,FALSE))</f>
        <v>Ngày thường</v>
      </c>
      <c r="G57" s="11" t="s">
        <v>52</v>
      </c>
      <c r="H57" s="10" t="str">
        <f>IF(G57="","",VLOOKUP(G57,TemplateCode!$E$2:$G$700,2,FALSE))</f>
        <v>90000456</v>
      </c>
      <c r="I57" s="10" t="str">
        <f>IF(G57="","",VLOOKUP(G57,TemplateCode!$E$2:$G$700,3,FALSE))</f>
        <v>Ca ngày</v>
      </c>
    </row>
    <row r="58" spans="1:9" ht="15.75">
      <c r="A58" s="16">
        <v>43181355</v>
      </c>
      <c r="B58" s="17" t="s">
        <v>57</v>
      </c>
      <c r="C58" s="12" t="s">
        <v>110</v>
      </c>
      <c r="D58" s="11" t="s">
        <v>17</v>
      </c>
      <c r="E58" s="10" t="str">
        <f>IF(D58="","",VLOOKUP(D58,TemplateCode!$A$2:$C$999,2,FALSE))</f>
        <v>1440</v>
      </c>
      <c r="F58" s="10" t="str">
        <f>IF(D58="","",VLOOKUP(D58,TemplateCode!$A$2:$C$999,3,FALSE))</f>
        <v>Ngày thường</v>
      </c>
      <c r="G58" s="11" t="s">
        <v>52</v>
      </c>
      <c r="H58" s="10" t="str">
        <f>IF(G58="","",VLOOKUP(G58,TemplateCode!$E$2:$G$700,2,FALSE))</f>
        <v>90000456</v>
      </c>
      <c r="I58" s="10" t="str">
        <f>IF(G58="","",VLOOKUP(G58,TemplateCode!$E$2:$G$700,3,FALSE))</f>
        <v>Ca ngày</v>
      </c>
    </row>
    <row r="59" spans="1:9" ht="15.75">
      <c r="A59" s="15">
        <v>43181462</v>
      </c>
      <c r="B59" s="17" t="s">
        <v>58</v>
      </c>
      <c r="C59" s="12" t="s">
        <v>110</v>
      </c>
      <c r="D59" s="11" t="s">
        <v>17</v>
      </c>
      <c r="E59" s="10" t="str">
        <f>IF(D59="","",VLOOKUP(D59,TemplateCode!$A$2:$C$999,2,FALSE))</f>
        <v>1440</v>
      </c>
      <c r="F59" s="10" t="str">
        <f>IF(D59="","",VLOOKUP(D59,TemplateCode!$A$2:$C$999,3,FALSE))</f>
        <v>Ngày thường</v>
      </c>
      <c r="G59" s="11" t="s">
        <v>52</v>
      </c>
      <c r="H59" s="10" t="str">
        <f>IF(G59="","",VLOOKUP(G59,TemplateCode!$E$2:$G$700,2,FALSE))</f>
        <v>90000456</v>
      </c>
      <c r="I59" s="10" t="str">
        <f>IF(G59="","",VLOOKUP(G59,TemplateCode!$E$2:$G$700,3,FALSE))</f>
        <v>Ca ngày</v>
      </c>
    </row>
    <row r="60" spans="1:9" ht="15.75">
      <c r="A60" s="18">
        <v>43181463</v>
      </c>
      <c r="B60" s="17" t="s">
        <v>59</v>
      </c>
      <c r="C60" s="12" t="s">
        <v>110</v>
      </c>
      <c r="D60" s="11" t="s">
        <v>17</v>
      </c>
      <c r="E60" s="10" t="str">
        <f>IF(D60="","",VLOOKUP(D60,TemplateCode!$A$2:$C$999,2,FALSE))</f>
        <v>1440</v>
      </c>
      <c r="F60" s="10" t="str">
        <f>IF(D60="","",VLOOKUP(D60,TemplateCode!$A$2:$C$999,3,FALSE))</f>
        <v>Ngày thường</v>
      </c>
      <c r="G60" s="11" t="s">
        <v>52</v>
      </c>
      <c r="H60" s="10" t="str">
        <f>IF(G60="","",VLOOKUP(G60,TemplateCode!$E$2:$G$700,2,FALSE))</f>
        <v>90000456</v>
      </c>
      <c r="I60" s="10" t="str">
        <f>IF(G60="","",VLOOKUP(G60,TemplateCode!$E$2:$G$700,3,FALSE))</f>
        <v>Ca ngày</v>
      </c>
    </row>
    <row r="61" spans="1:9" ht="15.75">
      <c r="A61" s="15">
        <v>43181487</v>
      </c>
      <c r="B61" s="15" t="s">
        <v>60</v>
      </c>
      <c r="C61" s="12" t="s">
        <v>110</v>
      </c>
      <c r="D61" s="11" t="s">
        <v>17</v>
      </c>
      <c r="E61" s="10" t="str">
        <f>IF(D61="","",VLOOKUP(D61,TemplateCode!$A$2:$C$999,2,FALSE))</f>
        <v>1440</v>
      </c>
      <c r="F61" s="10" t="str">
        <f>IF(D61="","",VLOOKUP(D61,TemplateCode!$A$2:$C$999,3,FALSE))</f>
        <v>Ngày thường</v>
      </c>
      <c r="G61" s="11" t="s">
        <v>52</v>
      </c>
      <c r="H61" s="10" t="str">
        <f>IF(G61="","",VLOOKUP(G61,TemplateCode!$E$2:$G$700,2,FALSE))</f>
        <v>90000456</v>
      </c>
      <c r="I61" s="10" t="str">
        <f>IF(G61="","",VLOOKUP(G61,TemplateCode!$E$2:$G$700,3,FALSE))</f>
        <v>Ca ngày</v>
      </c>
    </row>
    <row r="62" spans="1:9" ht="15.75">
      <c r="A62" s="15">
        <v>43181490</v>
      </c>
      <c r="B62" s="15" t="s">
        <v>61</v>
      </c>
      <c r="C62" s="12" t="s">
        <v>110</v>
      </c>
      <c r="D62" s="11" t="s">
        <v>17</v>
      </c>
      <c r="E62" s="10" t="str">
        <f>IF(D62="","",VLOOKUP(D62,TemplateCode!$A$2:$C$999,2,FALSE))</f>
        <v>1440</v>
      </c>
      <c r="F62" s="10" t="str">
        <f>IF(D62="","",VLOOKUP(D62,TemplateCode!$A$2:$C$999,3,FALSE))</f>
        <v>Ngày thường</v>
      </c>
      <c r="G62" s="11" t="s">
        <v>52</v>
      </c>
      <c r="H62" s="10" t="str">
        <f>IF(G62="","",VLOOKUP(G62,TemplateCode!$E$2:$G$700,2,FALSE))</f>
        <v>90000456</v>
      </c>
      <c r="I62" s="10" t="str">
        <f>IF(G62="","",VLOOKUP(G62,TemplateCode!$E$2:$G$700,3,FALSE))</f>
        <v>Ca ngày</v>
      </c>
    </row>
    <row r="63" spans="1:9" ht="15.75">
      <c r="A63" s="15">
        <v>43190015</v>
      </c>
      <c r="B63" s="15" t="s">
        <v>62</v>
      </c>
      <c r="C63" s="12" t="s">
        <v>110</v>
      </c>
      <c r="D63" s="11" t="s">
        <v>17</v>
      </c>
      <c r="E63" s="10" t="str">
        <f>IF(D63="","",VLOOKUP(D63,TemplateCode!$A$2:$C$999,2,FALSE))</f>
        <v>1440</v>
      </c>
      <c r="F63" s="10" t="str">
        <f>IF(D63="","",VLOOKUP(D63,TemplateCode!$A$2:$C$999,3,FALSE))</f>
        <v>Ngày thường</v>
      </c>
      <c r="G63" s="11" t="s">
        <v>52</v>
      </c>
      <c r="H63" s="10" t="str">
        <f>IF(G63="","",VLOOKUP(G63,TemplateCode!$E$2:$G$700,2,FALSE))</f>
        <v>90000456</v>
      </c>
      <c r="I63" s="10" t="str">
        <f>IF(G63="","",VLOOKUP(G63,TemplateCode!$E$2:$G$700,3,FALSE))</f>
        <v>Ca ngày</v>
      </c>
    </row>
    <row r="64" spans="1:9" ht="15.75">
      <c r="A64" s="15">
        <v>43190023</v>
      </c>
      <c r="B64" s="15" t="s">
        <v>63</v>
      </c>
      <c r="C64" s="12" t="s">
        <v>110</v>
      </c>
      <c r="D64" s="11" t="s">
        <v>17</v>
      </c>
      <c r="E64" s="10" t="str">
        <f>IF(D64="","",VLOOKUP(D64,TemplateCode!$A$2:$C$999,2,FALSE))</f>
        <v>1440</v>
      </c>
      <c r="F64" s="10" t="str">
        <f>IF(D64="","",VLOOKUP(D64,TemplateCode!$A$2:$C$999,3,FALSE))</f>
        <v>Ngày thường</v>
      </c>
      <c r="G64" s="11" t="s">
        <v>52</v>
      </c>
      <c r="H64" s="10" t="str">
        <f>IF(G64="","",VLOOKUP(G64,TemplateCode!$E$2:$G$700,2,FALSE))</f>
        <v>90000456</v>
      </c>
      <c r="I64" s="10" t="str">
        <f>IF(G64="","",VLOOKUP(G64,TemplateCode!$E$2:$G$700,3,FALSE))</f>
        <v>Ca ngày</v>
      </c>
    </row>
    <row r="65" spans="1:9" ht="15.75">
      <c r="A65" s="15">
        <v>43190030</v>
      </c>
      <c r="B65" s="15" t="s">
        <v>64</v>
      </c>
      <c r="C65" s="12" t="s">
        <v>110</v>
      </c>
      <c r="D65" s="11" t="s">
        <v>17</v>
      </c>
      <c r="E65" s="10" t="str">
        <f>IF(D65="","",VLOOKUP(D65,TemplateCode!$A$2:$C$999,2,FALSE))</f>
        <v>1440</v>
      </c>
      <c r="F65" s="10" t="str">
        <f>IF(D65="","",VLOOKUP(D65,TemplateCode!$A$2:$C$999,3,FALSE))</f>
        <v>Ngày thường</v>
      </c>
      <c r="G65" s="11" t="s">
        <v>52</v>
      </c>
      <c r="H65" s="10" t="str">
        <f>IF(G65="","",VLOOKUP(G65,TemplateCode!$E$2:$G$700,2,FALSE))</f>
        <v>90000456</v>
      </c>
      <c r="I65" s="10" t="str">
        <f>IF(G65="","",VLOOKUP(G65,TemplateCode!$E$2:$G$700,3,FALSE))</f>
        <v>Ca ngày</v>
      </c>
    </row>
    <row r="66" spans="1:9" ht="15.75">
      <c r="A66" s="15">
        <v>43190041</v>
      </c>
      <c r="B66" s="15" t="s">
        <v>65</v>
      </c>
      <c r="C66" s="12" t="s">
        <v>110</v>
      </c>
      <c r="D66" s="11" t="s">
        <v>17</v>
      </c>
      <c r="E66" s="10" t="str">
        <f>IF(D66="","",VLOOKUP(D66,TemplateCode!$A$2:$C$999,2,FALSE))</f>
        <v>1440</v>
      </c>
      <c r="F66" s="10" t="str">
        <f>IF(D66="","",VLOOKUP(D66,TemplateCode!$A$2:$C$999,3,FALSE))</f>
        <v>Ngày thường</v>
      </c>
      <c r="G66" s="11" t="s">
        <v>52</v>
      </c>
      <c r="H66" s="10" t="str">
        <f>IF(G66="","",VLOOKUP(G66,TemplateCode!$E$2:$G$700,2,FALSE))</f>
        <v>90000456</v>
      </c>
      <c r="I66" s="10" t="str">
        <f>IF(G66="","",VLOOKUP(G66,TemplateCode!$E$2:$G$700,3,FALSE))</f>
        <v>Ca ngày</v>
      </c>
    </row>
    <row r="67" spans="1:9" ht="15.75">
      <c r="A67" s="16">
        <v>43190065</v>
      </c>
      <c r="B67" s="15" t="s">
        <v>66</v>
      </c>
      <c r="C67" s="12" t="s">
        <v>110</v>
      </c>
      <c r="D67" s="11" t="s">
        <v>17</v>
      </c>
      <c r="E67" s="10" t="str">
        <f>IF(D67="","",VLOOKUP(D67,TemplateCode!$A$2:$C$999,2,FALSE))</f>
        <v>1440</v>
      </c>
      <c r="F67" s="10" t="str">
        <f>IF(D67="","",VLOOKUP(D67,TemplateCode!$A$2:$C$999,3,FALSE))</f>
        <v>Ngày thường</v>
      </c>
      <c r="G67" s="11" t="s">
        <v>52</v>
      </c>
      <c r="H67" s="10" t="str">
        <f>IF(G67="","",VLOOKUP(G67,TemplateCode!$E$2:$G$700,2,FALSE))</f>
        <v>90000456</v>
      </c>
      <c r="I67" s="10" t="str">
        <f>IF(G67="","",VLOOKUP(G67,TemplateCode!$E$2:$G$700,3,FALSE))</f>
        <v>Ca ngày</v>
      </c>
    </row>
    <row r="68" spans="1:9" ht="15.75">
      <c r="A68" s="16">
        <v>43190105</v>
      </c>
      <c r="B68" s="15" t="s">
        <v>67</v>
      </c>
      <c r="C68" s="12" t="s">
        <v>110</v>
      </c>
      <c r="D68" s="11" t="s">
        <v>17</v>
      </c>
      <c r="E68" s="10" t="str">
        <f>IF(D68="","",VLOOKUP(D68,TemplateCode!$A$2:$C$999,2,FALSE))</f>
        <v>1440</v>
      </c>
      <c r="F68" s="10" t="str">
        <f>IF(D68="","",VLOOKUP(D68,TemplateCode!$A$2:$C$999,3,FALSE))</f>
        <v>Ngày thường</v>
      </c>
      <c r="G68" s="11" t="s">
        <v>52</v>
      </c>
      <c r="H68" s="10" t="str">
        <f>IF(G68="","",VLOOKUP(G68,TemplateCode!$E$2:$G$700,2,FALSE))</f>
        <v>90000456</v>
      </c>
      <c r="I68" s="10" t="str">
        <f>IF(G68="","",VLOOKUP(G68,TemplateCode!$E$2:$G$700,3,FALSE))</f>
        <v>Ca ngày</v>
      </c>
    </row>
    <row r="69" spans="1:9" ht="15.75">
      <c r="A69" s="16">
        <v>43190109</v>
      </c>
      <c r="B69" s="17" t="s">
        <v>68</v>
      </c>
      <c r="C69" s="12" t="s">
        <v>110</v>
      </c>
      <c r="D69" s="11" t="s">
        <v>17</v>
      </c>
      <c r="E69" s="10" t="str">
        <f>IF(D69="","",VLOOKUP(D69,TemplateCode!$A$2:$C$999,2,FALSE))</f>
        <v>1440</v>
      </c>
      <c r="F69" s="10" t="str">
        <f>IF(D69="","",VLOOKUP(D69,TemplateCode!$A$2:$C$999,3,FALSE))</f>
        <v>Ngày thường</v>
      </c>
      <c r="G69" s="11" t="s">
        <v>52</v>
      </c>
      <c r="H69" s="10" t="str">
        <f>IF(G69="","",VLOOKUP(G69,TemplateCode!$E$2:$G$700,2,FALSE))</f>
        <v>90000456</v>
      </c>
      <c r="I69" s="10" t="str">
        <f>IF(G69="","",VLOOKUP(G69,TemplateCode!$E$2:$G$700,3,FALSE))</f>
        <v>Ca ngày</v>
      </c>
    </row>
    <row r="70" spans="1:9" ht="15.75">
      <c r="A70" s="18">
        <v>43190124</v>
      </c>
      <c r="B70" s="17" t="s">
        <v>69</v>
      </c>
      <c r="C70" s="12" t="s">
        <v>110</v>
      </c>
      <c r="D70" s="11" t="s">
        <v>17</v>
      </c>
      <c r="E70" s="10" t="str">
        <f>IF(D70="","",VLOOKUP(D70,TemplateCode!$A$2:$C$999,2,FALSE))</f>
        <v>1440</v>
      </c>
      <c r="F70" s="10" t="str">
        <f>IF(D70="","",VLOOKUP(D70,TemplateCode!$A$2:$C$999,3,FALSE))</f>
        <v>Ngày thường</v>
      </c>
      <c r="G70" s="11" t="s">
        <v>52</v>
      </c>
      <c r="H70" s="10" t="str">
        <f>IF(G70="","",VLOOKUP(G70,TemplateCode!$E$2:$G$700,2,FALSE))</f>
        <v>90000456</v>
      </c>
      <c r="I70" s="10" t="str">
        <f>IF(G70="","",VLOOKUP(G70,TemplateCode!$E$2:$G$700,3,FALSE))</f>
        <v>Ca ngày</v>
      </c>
    </row>
    <row r="71" spans="1:9" ht="15.75">
      <c r="A71" s="15">
        <v>43190125</v>
      </c>
      <c r="B71" s="15" t="s">
        <v>70</v>
      </c>
      <c r="C71" s="12" t="s">
        <v>110</v>
      </c>
      <c r="D71" s="11" t="s">
        <v>17</v>
      </c>
      <c r="E71" s="10" t="str">
        <f>IF(D71="","",VLOOKUP(D71,TemplateCode!$A$2:$C$999,2,FALSE))</f>
        <v>1440</v>
      </c>
      <c r="F71" s="10" t="str">
        <f>IF(D71="","",VLOOKUP(D71,TemplateCode!$A$2:$C$999,3,FALSE))</f>
        <v>Ngày thường</v>
      </c>
      <c r="G71" s="11" t="s">
        <v>52</v>
      </c>
      <c r="H71" s="10" t="str">
        <f>IF(G71="","",VLOOKUP(G71,TemplateCode!$E$2:$G$700,2,FALSE))</f>
        <v>90000456</v>
      </c>
      <c r="I71" s="10" t="str">
        <f>IF(G71="","",VLOOKUP(G71,TemplateCode!$E$2:$G$700,3,FALSE))</f>
        <v>Ca ngày</v>
      </c>
    </row>
    <row r="72" spans="1:9" ht="15.75">
      <c r="A72" s="15">
        <v>43190126</v>
      </c>
      <c r="B72" s="15" t="s">
        <v>71</v>
      </c>
      <c r="C72" s="12" t="s">
        <v>110</v>
      </c>
      <c r="D72" s="11" t="s">
        <v>17</v>
      </c>
      <c r="E72" s="10" t="str">
        <f>IF(D72="","",VLOOKUP(D72,TemplateCode!$A$2:$C$999,2,FALSE))</f>
        <v>1440</v>
      </c>
      <c r="F72" s="10" t="str">
        <f>IF(D72="","",VLOOKUP(D72,TemplateCode!$A$2:$C$999,3,FALSE))</f>
        <v>Ngày thường</v>
      </c>
      <c r="G72" s="11" t="s">
        <v>52</v>
      </c>
      <c r="H72" s="10" t="str">
        <f>IF(G72="","",VLOOKUP(G72,TemplateCode!$E$2:$G$700,2,FALSE))</f>
        <v>90000456</v>
      </c>
      <c r="I72" s="10" t="str">
        <f>IF(G72="","",VLOOKUP(G72,TemplateCode!$E$2:$G$700,3,FALSE))</f>
        <v>Ca ngày</v>
      </c>
    </row>
    <row r="73" spans="1:9" ht="15.75">
      <c r="A73" s="15">
        <v>43190169</v>
      </c>
      <c r="B73" s="15" t="s">
        <v>72</v>
      </c>
      <c r="C73" s="12" t="s">
        <v>110</v>
      </c>
      <c r="D73" s="11" t="s">
        <v>17</v>
      </c>
      <c r="E73" s="10" t="str">
        <f>IF(D73="","",VLOOKUP(D73,TemplateCode!$A$2:$C$999,2,FALSE))</f>
        <v>1440</v>
      </c>
      <c r="F73" s="10" t="str">
        <f>IF(D73="","",VLOOKUP(D73,TemplateCode!$A$2:$C$999,3,FALSE))</f>
        <v>Ngày thường</v>
      </c>
      <c r="G73" s="11" t="s">
        <v>52</v>
      </c>
      <c r="H73" s="10" t="str">
        <f>IF(G73="","",VLOOKUP(G73,TemplateCode!$E$2:$G$700,2,FALSE))</f>
        <v>90000456</v>
      </c>
      <c r="I73" s="10" t="str">
        <f>IF(G73="","",VLOOKUP(G73,TemplateCode!$E$2:$G$700,3,FALSE))</f>
        <v>Ca ngày</v>
      </c>
    </row>
    <row r="74" spans="1:9" ht="15.75">
      <c r="A74" s="16">
        <v>43190163</v>
      </c>
      <c r="B74" s="17" t="s">
        <v>73</v>
      </c>
      <c r="C74" s="12" t="s">
        <v>110</v>
      </c>
      <c r="D74" s="11" t="s">
        <v>17</v>
      </c>
      <c r="E74" s="10" t="str">
        <f>IF(D74="","",VLOOKUP(D74,TemplateCode!$A$2:$C$999,2,FALSE))</f>
        <v>1440</v>
      </c>
      <c r="F74" s="10" t="str">
        <f>IF(D74="","",VLOOKUP(D74,TemplateCode!$A$2:$C$999,3,FALSE))</f>
        <v>Ngày thường</v>
      </c>
      <c r="G74" s="11" t="s">
        <v>52</v>
      </c>
      <c r="H74" s="10" t="str">
        <f>IF(G74="","",VLOOKUP(G74,TemplateCode!$E$2:$G$700,2,FALSE))</f>
        <v>90000456</v>
      </c>
      <c r="I74" s="10" t="str">
        <f>IF(G74="","",VLOOKUP(G74,TemplateCode!$E$2:$G$700,3,FALSE))</f>
        <v>Ca ngày</v>
      </c>
    </row>
    <row r="75" spans="1:9" ht="15.75">
      <c r="A75" s="19">
        <v>43190435</v>
      </c>
      <c r="B75" s="20" t="s">
        <v>74</v>
      </c>
      <c r="C75" s="12" t="s">
        <v>110</v>
      </c>
      <c r="D75" s="11" t="s">
        <v>17</v>
      </c>
      <c r="E75" s="10" t="str">
        <f>IF(D75="","",VLOOKUP(D75,TemplateCode!$A$2:$C$999,2,FALSE))</f>
        <v>1440</v>
      </c>
      <c r="F75" s="10" t="str">
        <f>IF(D75="","",VLOOKUP(D75,TemplateCode!$A$2:$C$999,3,FALSE))</f>
        <v>Ngày thường</v>
      </c>
      <c r="G75" s="11" t="s">
        <v>52</v>
      </c>
      <c r="H75" s="10" t="str">
        <f>IF(G75="","",VLOOKUP(G75,TemplateCode!$E$2:$G$700,2,FALSE))</f>
        <v>90000456</v>
      </c>
      <c r="I75" s="10" t="str">
        <f>IF(G75="","",VLOOKUP(G75,TemplateCode!$E$2:$G$700,3,FALSE))</f>
        <v>Ca ngày</v>
      </c>
    </row>
    <row r="76" spans="1:9" ht="15.75">
      <c r="A76" s="21">
        <v>43190459</v>
      </c>
      <c r="B76" s="20" t="s">
        <v>75</v>
      </c>
      <c r="C76" s="12" t="s">
        <v>110</v>
      </c>
      <c r="D76" s="11" t="s">
        <v>17</v>
      </c>
      <c r="E76" s="10" t="str">
        <f>IF(D76="","",VLOOKUP(D76,TemplateCode!$A$2:$C$999,2,FALSE))</f>
        <v>1440</v>
      </c>
      <c r="F76" s="10" t="str">
        <f>IF(D76="","",VLOOKUP(D76,TemplateCode!$A$2:$C$999,3,FALSE))</f>
        <v>Ngày thường</v>
      </c>
      <c r="G76" s="11" t="s">
        <v>52</v>
      </c>
      <c r="H76" s="10" t="str">
        <f>IF(G76="","",VLOOKUP(G76,TemplateCode!$E$2:$G$700,2,FALSE))</f>
        <v>90000456</v>
      </c>
      <c r="I76" s="10" t="str">
        <f>IF(G76="","",VLOOKUP(G76,TemplateCode!$E$2:$G$700,3,FALSE))</f>
        <v>Ca ngày</v>
      </c>
    </row>
    <row r="77" spans="1:9" ht="15.75">
      <c r="A77" s="19">
        <v>43190506</v>
      </c>
      <c r="B77" s="20" t="s">
        <v>76</v>
      </c>
      <c r="C77" s="12" t="s">
        <v>110</v>
      </c>
      <c r="D77" s="11" t="s">
        <v>17</v>
      </c>
      <c r="E77" s="10" t="str">
        <f>IF(D77="","",VLOOKUP(D77,TemplateCode!$A$2:$C$999,2,FALSE))</f>
        <v>1440</v>
      </c>
      <c r="F77" s="10" t="str">
        <f>IF(D77="","",VLOOKUP(D77,TemplateCode!$A$2:$C$999,3,FALSE))</f>
        <v>Ngày thường</v>
      </c>
      <c r="G77" s="11" t="s">
        <v>52</v>
      </c>
      <c r="H77" s="10" t="str">
        <f>IF(G77="","",VLOOKUP(G77,TemplateCode!$E$2:$G$700,2,FALSE))</f>
        <v>90000456</v>
      </c>
      <c r="I77" s="10" t="str">
        <f>IF(G77="","",VLOOKUP(G77,TemplateCode!$E$2:$G$700,3,FALSE))</f>
        <v>Ca ngày</v>
      </c>
    </row>
    <row r="78" spans="1:9" ht="15.75">
      <c r="A78" s="22">
        <v>43190785</v>
      </c>
      <c r="B78" s="22" t="s">
        <v>77</v>
      </c>
      <c r="C78" s="12" t="s">
        <v>110</v>
      </c>
      <c r="D78" s="11" t="s">
        <v>17</v>
      </c>
      <c r="E78" s="10" t="str">
        <f>IF(D78="","",VLOOKUP(D78,TemplateCode!$A$2:$C$999,2,FALSE))</f>
        <v>1440</v>
      </c>
      <c r="F78" s="10" t="str">
        <f>IF(D78="","",VLOOKUP(D78,TemplateCode!$A$2:$C$999,3,FALSE))</f>
        <v>Ngày thường</v>
      </c>
      <c r="G78" s="11" t="s">
        <v>52</v>
      </c>
      <c r="H78" s="10" t="str">
        <f>IF(G78="","",VLOOKUP(G78,TemplateCode!$E$2:$G$700,2,FALSE))</f>
        <v>90000456</v>
      </c>
      <c r="I78" s="10" t="str">
        <f>IF(G78="","",VLOOKUP(G78,TemplateCode!$E$2:$G$700,3,FALSE))</f>
        <v>Ca ngày</v>
      </c>
    </row>
    <row r="79" spans="1:9" ht="18.75">
      <c r="A79" s="13">
        <v>43190799</v>
      </c>
      <c r="B79" s="23" t="s">
        <v>78</v>
      </c>
      <c r="C79" s="12" t="s">
        <v>110</v>
      </c>
      <c r="D79" s="11" t="s">
        <v>17</v>
      </c>
      <c r="E79" s="10" t="str">
        <f>IF(D79="","",VLOOKUP(D79,TemplateCode!$A$2:$C$999,2,FALSE))</f>
        <v>1440</v>
      </c>
      <c r="F79" s="10" t="str">
        <f>IF(D79="","",VLOOKUP(D79,TemplateCode!$A$2:$C$999,3,FALSE))</f>
        <v>Ngày thường</v>
      </c>
      <c r="G79" s="11" t="s">
        <v>52</v>
      </c>
      <c r="H79" s="10" t="str">
        <f>IF(G79="","",VLOOKUP(G79,TemplateCode!$E$2:$G$700,2,FALSE))</f>
        <v>90000456</v>
      </c>
      <c r="I79" s="10" t="str">
        <f>IF(G79="","",VLOOKUP(G79,TemplateCode!$E$2:$G$700,3,FALSE))</f>
        <v>Ca ngày</v>
      </c>
    </row>
    <row r="80" spans="1:9" ht="18.75">
      <c r="A80" s="13">
        <v>43190800</v>
      </c>
      <c r="B80" s="23" t="s">
        <v>79</v>
      </c>
      <c r="C80" s="12" t="s">
        <v>110</v>
      </c>
      <c r="D80" s="11" t="s">
        <v>17</v>
      </c>
      <c r="E80" s="10" t="str">
        <f>IF(D80="","",VLOOKUP(D80,TemplateCode!$A$2:$C$999,2,FALSE))</f>
        <v>1440</v>
      </c>
      <c r="F80" s="10" t="str">
        <f>IF(D80="","",VLOOKUP(D80,TemplateCode!$A$2:$C$999,3,FALSE))</f>
        <v>Ngày thường</v>
      </c>
      <c r="G80" s="11" t="s">
        <v>52</v>
      </c>
      <c r="H80" s="10" t="str">
        <f>IF(G80="","",VLOOKUP(G80,TemplateCode!$E$2:$G$700,2,FALSE))</f>
        <v>90000456</v>
      </c>
      <c r="I80" s="10" t="str">
        <f>IF(G80="","",VLOOKUP(G80,TemplateCode!$E$2:$G$700,3,FALSE))</f>
        <v>Ca ngày</v>
      </c>
    </row>
    <row r="81" spans="1:9" ht="15.75">
      <c r="A81" s="24">
        <v>43190817</v>
      </c>
      <c r="B81" s="25" t="s">
        <v>80</v>
      </c>
      <c r="C81" s="12" t="s">
        <v>110</v>
      </c>
      <c r="D81" s="11" t="s">
        <v>17</v>
      </c>
      <c r="E81" s="10" t="str">
        <f>IF(D81="","",VLOOKUP(D81,TemplateCode!$A$2:$C$999,2,FALSE))</f>
        <v>1440</v>
      </c>
      <c r="F81" s="10" t="str">
        <f>IF(D81="","",VLOOKUP(D81,TemplateCode!$A$2:$C$999,3,FALSE))</f>
        <v>Ngày thường</v>
      </c>
      <c r="G81" s="11" t="s">
        <v>52</v>
      </c>
      <c r="H81" s="10" t="str">
        <f>IF(G81="","",VLOOKUP(G81,TemplateCode!$E$2:$G$700,2,FALSE))</f>
        <v>90000456</v>
      </c>
      <c r="I81" s="10" t="str">
        <f>IF(G81="","",VLOOKUP(G81,TemplateCode!$E$2:$G$700,3,FALSE))</f>
        <v>Ca ngày</v>
      </c>
    </row>
    <row r="82" spans="1:9" ht="15.75">
      <c r="A82" s="26">
        <v>43190892</v>
      </c>
      <c r="B82" s="22" t="s">
        <v>81</v>
      </c>
      <c r="C82" s="12" t="s">
        <v>110</v>
      </c>
      <c r="D82" s="11" t="s">
        <v>17</v>
      </c>
      <c r="E82" s="10" t="str">
        <f>IF(D82="","",VLOOKUP(D82,TemplateCode!$A$2:$C$999,2,FALSE))</f>
        <v>1440</v>
      </c>
      <c r="F82" s="10" t="str">
        <f>IF(D82="","",VLOOKUP(D82,TemplateCode!$A$2:$C$999,3,FALSE))</f>
        <v>Ngày thường</v>
      </c>
      <c r="G82" s="11" t="s">
        <v>52</v>
      </c>
      <c r="H82" s="10" t="str">
        <f>IF(G82="","",VLOOKUP(G82,TemplateCode!$E$2:$G$700,2,FALSE))</f>
        <v>90000456</v>
      </c>
      <c r="I82" s="10" t="str">
        <f>IF(G82="","",VLOOKUP(G82,TemplateCode!$E$2:$G$700,3,FALSE))</f>
        <v>Ca ngày</v>
      </c>
    </row>
    <row r="83" spans="1:9" ht="15.75">
      <c r="A83" s="26">
        <v>43190893</v>
      </c>
      <c r="B83" s="22" t="s">
        <v>82</v>
      </c>
      <c r="C83" s="12" t="s">
        <v>110</v>
      </c>
      <c r="D83" s="11" t="s">
        <v>17</v>
      </c>
      <c r="E83" s="10" t="str">
        <f>IF(D83="","",VLOOKUP(D83,TemplateCode!$A$2:$C$999,2,FALSE))</f>
        <v>1440</v>
      </c>
      <c r="F83" s="10" t="str">
        <f>IF(D83="","",VLOOKUP(D83,TemplateCode!$A$2:$C$999,3,FALSE))</f>
        <v>Ngày thường</v>
      </c>
      <c r="G83" s="11" t="s">
        <v>52</v>
      </c>
      <c r="H83" s="10" t="str">
        <f>IF(G83="","",VLOOKUP(G83,TemplateCode!$E$2:$G$700,2,FALSE))</f>
        <v>90000456</v>
      </c>
      <c r="I83" s="10" t="str">
        <f>IF(G83="","",VLOOKUP(G83,TemplateCode!$E$2:$G$700,3,FALSE))</f>
        <v>Ca ngày</v>
      </c>
    </row>
    <row r="84" spans="1:9" ht="15.75">
      <c r="A84" s="27">
        <v>43190244</v>
      </c>
      <c r="B84" s="28" t="s">
        <v>84</v>
      </c>
      <c r="C84" s="29" t="s">
        <v>110</v>
      </c>
      <c r="D84" s="30" t="s">
        <v>17</v>
      </c>
      <c r="E84" s="31" t="str">
        <f>IF(D84="","",VLOOKUP(D84,TemplateCode!$A$2:$C$999,2,FALSE))</f>
        <v>1440</v>
      </c>
      <c r="F84" s="31" t="str">
        <f>IF(D84="","",VLOOKUP(D84,TemplateCode!$A$2:$C$999,3,FALSE))</f>
        <v>Ngày thường</v>
      </c>
      <c r="G84" s="30" t="s">
        <v>31</v>
      </c>
      <c r="H84" s="31" t="str">
        <f>IF(G84="","",VLOOKUP(G84,TemplateCode!$E$2:$G$700,2,FALSE))</f>
        <v>14015595</v>
      </c>
      <c r="I84" s="31" t="str">
        <f>IF(G84="","",VLOOKUP(G84,TemplateCode!$E$2:$G$700,3,FALSE))</f>
        <v>Ca đêm</v>
      </c>
    </row>
    <row r="85" spans="1:9" ht="15.75">
      <c r="A85" s="32">
        <v>43190464</v>
      </c>
      <c r="B85" s="33" t="s">
        <v>85</v>
      </c>
      <c r="C85" s="29" t="s">
        <v>110</v>
      </c>
      <c r="D85" s="30" t="s">
        <v>17</v>
      </c>
      <c r="E85" s="31" t="str">
        <f>IF(D85="","",VLOOKUP(D85,TemplateCode!$A$2:$C$999,2,FALSE))</f>
        <v>1440</v>
      </c>
      <c r="F85" s="31" t="str">
        <f>IF(D85="","",VLOOKUP(D85,TemplateCode!$A$2:$C$999,3,FALSE))</f>
        <v>Ngày thường</v>
      </c>
      <c r="G85" s="30" t="s">
        <v>31</v>
      </c>
      <c r="H85" s="31" t="str">
        <f>IF(G85="","",VLOOKUP(G85,TemplateCode!$E$2:$G$700,2,FALSE))</f>
        <v>14015595</v>
      </c>
      <c r="I85" s="31" t="str">
        <f>IF(G85="","",VLOOKUP(G85,TemplateCode!$E$2:$G$700,3,FALSE))</f>
        <v>Ca đêm</v>
      </c>
    </row>
    <row r="86" spans="1:9" ht="15.75">
      <c r="A86" s="34">
        <v>43180875</v>
      </c>
      <c r="B86" s="34" t="s">
        <v>86</v>
      </c>
      <c r="C86" s="29" t="s">
        <v>110</v>
      </c>
      <c r="D86" s="30" t="s">
        <v>17</v>
      </c>
      <c r="E86" s="31" t="str">
        <f>IF(D86="","",VLOOKUP(D86,TemplateCode!$A$2:$C$999,2,FALSE))</f>
        <v>1440</v>
      </c>
      <c r="F86" s="31" t="str">
        <f>IF(D86="","",VLOOKUP(D86,TemplateCode!$A$2:$C$999,3,FALSE))</f>
        <v>Ngày thường</v>
      </c>
      <c r="G86" s="30" t="s">
        <v>31</v>
      </c>
      <c r="H86" s="31" t="str">
        <f>IF(G86="","",VLOOKUP(G86,TemplateCode!$E$2:$G$700,2,FALSE))</f>
        <v>14015595</v>
      </c>
      <c r="I86" s="31" t="str">
        <f>IF(G86="","",VLOOKUP(G86,TemplateCode!$E$2:$G$700,3,FALSE))</f>
        <v>Ca đêm</v>
      </c>
    </row>
    <row r="87" spans="1:9" ht="15.75">
      <c r="A87" s="34">
        <v>43180879</v>
      </c>
      <c r="B87" s="34" t="s">
        <v>87</v>
      </c>
      <c r="C87" s="29" t="s">
        <v>110</v>
      </c>
      <c r="D87" s="30" t="s">
        <v>17</v>
      </c>
      <c r="E87" s="31" t="str">
        <f>IF(D87="","",VLOOKUP(D87,TemplateCode!$A$2:$C$999,2,FALSE))</f>
        <v>1440</v>
      </c>
      <c r="F87" s="31" t="str">
        <f>IF(D87="","",VLOOKUP(D87,TemplateCode!$A$2:$C$999,3,FALSE))</f>
        <v>Ngày thường</v>
      </c>
      <c r="G87" s="30" t="s">
        <v>31</v>
      </c>
      <c r="H87" s="31" t="str">
        <f>IF(G87="","",VLOOKUP(G87,TemplateCode!$E$2:$G$700,2,FALSE))</f>
        <v>14015595</v>
      </c>
      <c r="I87" s="31" t="str">
        <f>IF(G87="","",VLOOKUP(G87,TemplateCode!$E$2:$G$700,3,FALSE))</f>
        <v>Ca đêm</v>
      </c>
    </row>
    <row r="88" spans="1:9" ht="15.75">
      <c r="A88" s="27">
        <v>43181074</v>
      </c>
      <c r="B88" s="34" t="s">
        <v>88</v>
      </c>
      <c r="C88" s="29" t="s">
        <v>110</v>
      </c>
      <c r="D88" s="30" t="s">
        <v>17</v>
      </c>
      <c r="E88" s="31" t="str">
        <f>IF(D88="","",VLOOKUP(D88,TemplateCode!$A$2:$C$999,2,FALSE))</f>
        <v>1440</v>
      </c>
      <c r="F88" s="31" t="str">
        <f>IF(D88="","",VLOOKUP(D88,TemplateCode!$A$2:$C$999,3,FALSE))</f>
        <v>Ngày thường</v>
      </c>
      <c r="G88" s="30" t="s">
        <v>31</v>
      </c>
      <c r="H88" s="31" t="str">
        <f>IF(G88="","",VLOOKUP(G88,TemplateCode!$E$2:$G$700,2,FALSE))</f>
        <v>14015595</v>
      </c>
      <c r="I88" s="31" t="str">
        <f>IF(G88="","",VLOOKUP(G88,TemplateCode!$E$2:$G$700,3,FALSE))</f>
        <v>Ca đêm</v>
      </c>
    </row>
    <row r="89" spans="1:9" ht="15.75">
      <c r="A89" s="35">
        <v>43180750</v>
      </c>
      <c r="B89" s="28" t="s">
        <v>89</v>
      </c>
      <c r="C89" s="29" t="s">
        <v>110</v>
      </c>
      <c r="D89" s="30" t="s">
        <v>17</v>
      </c>
      <c r="E89" s="31" t="str">
        <f>IF(D89="","",VLOOKUP(D89,TemplateCode!$A$2:$C$999,2,FALSE))</f>
        <v>1440</v>
      </c>
      <c r="F89" s="31" t="str">
        <f>IF(D89="","",VLOOKUP(D89,TemplateCode!$A$2:$C$999,3,FALSE))</f>
        <v>Ngày thường</v>
      </c>
      <c r="G89" s="30" t="s">
        <v>31</v>
      </c>
      <c r="H89" s="31" t="str">
        <f>IF(G89="","",VLOOKUP(G89,TemplateCode!$E$2:$G$700,2,FALSE))</f>
        <v>14015595</v>
      </c>
      <c r="I89" s="31" t="str">
        <f>IF(G89="","",VLOOKUP(G89,TemplateCode!$E$2:$G$700,3,FALSE))</f>
        <v>Ca đêm</v>
      </c>
    </row>
    <row r="90" spans="1:9" ht="15.75">
      <c r="A90" s="35">
        <v>43181362</v>
      </c>
      <c r="B90" s="28" t="s">
        <v>90</v>
      </c>
      <c r="C90" s="29" t="s">
        <v>110</v>
      </c>
      <c r="D90" s="30" t="s">
        <v>17</v>
      </c>
      <c r="E90" s="31" t="str">
        <f>IF(D90="","",VLOOKUP(D90,TemplateCode!$A$2:$C$999,2,FALSE))</f>
        <v>1440</v>
      </c>
      <c r="F90" s="31" t="str">
        <f>IF(D90="","",VLOOKUP(D90,TemplateCode!$A$2:$C$999,3,FALSE))</f>
        <v>Ngày thường</v>
      </c>
      <c r="G90" s="30" t="s">
        <v>31</v>
      </c>
      <c r="H90" s="31" t="str">
        <f>IF(G90="","",VLOOKUP(G90,TemplateCode!$E$2:$G$700,2,FALSE))</f>
        <v>14015595</v>
      </c>
      <c r="I90" s="31" t="str">
        <f>IF(G90="","",VLOOKUP(G90,TemplateCode!$E$2:$G$700,3,FALSE))</f>
        <v>Ca đêm</v>
      </c>
    </row>
    <row r="91" spans="1:9" ht="15.75">
      <c r="A91" s="35">
        <v>43181479</v>
      </c>
      <c r="B91" s="28" t="s">
        <v>91</v>
      </c>
      <c r="C91" s="29" t="s">
        <v>110</v>
      </c>
      <c r="D91" s="30" t="s">
        <v>17</v>
      </c>
      <c r="E91" s="31" t="str">
        <f>IF(D91="","",VLOOKUP(D91,TemplateCode!$A$2:$C$999,2,FALSE))</f>
        <v>1440</v>
      </c>
      <c r="F91" s="31" t="str">
        <f>IF(D91="","",VLOOKUP(D91,TemplateCode!$A$2:$C$999,3,FALSE))</f>
        <v>Ngày thường</v>
      </c>
      <c r="G91" s="30" t="s">
        <v>31</v>
      </c>
      <c r="H91" s="31" t="str">
        <f>IF(G91="","",VLOOKUP(G91,TemplateCode!$E$2:$G$700,2,FALSE))</f>
        <v>14015595</v>
      </c>
      <c r="I91" s="31" t="str">
        <f>IF(G91="","",VLOOKUP(G91,TemplateCode!$E$2:$G$700,3,FALSE))</f>
        <v>Ca đêm</v>
      </c>
    </row>
    <row r="92" spans="1:9" ht="15.75">
      <c r="A92" s="35">
        <v>43190068</v>
      </c>
      <c r="B92" s="28" t="s">
        <v>92</v>
      </c>
      <c r="C92" s="29" t="s">
        <v>110</v>
      </c>
      <c r="D92" s="30" t="s">
        <v>17</v>
      </c>
      <c r="E92" s="31" t="str">
        <f>IF(D92="","",VLOOKUP(D92,TemplateCode!$A$2:$C$999,2,FALSE))</f>
        <v>1440</v>
      </c>
      <c r="F92" s="31" t="str">
        <f>IF(D92="","",VLOOKUP(D92,TemplateCode!$A$2:$C$999,3,FALSE))</f>
        <v>Ngày thường</v>
      </c>
      <c r="G92" s="30" t="s">
        <v>31</v>
      </c>
      <c r="H92" s="31" t="str">
        <f>IF(G92="","",VLOOKUP(G92,TemplateCode!$E$2:$G$700,2,FALSE))</f>
        <v>14015595</v>
      </c>
      <c r="I92" s="31" t="str">
        <f>IF(G92="","",VLOOKUP(G92,TemplateCode!$E$2:$G$700,3,FALSE))</f>
        <v>Ca đêm</v>
      </c>
    </row>
    <row r="93" spans="1:9" ht="15.75">
      <c r="A93" s="35">
        <v>43190084</v>
      </c>
      <c r="B93" s="28" t="s">
        <v>93</v>
      </c>
      <c r="C93" s="29" t="s">
        <v>110</v>
      </c>
      <c r="D93" s="30" t="s">
        <v>17</v>
      </c>
      <c r="E93" s="31" t="str">
        <f>IF(D93="","",VLOOKUP(D93,TemplateCode!$A$2:$C$999,2,FALSE))</f>
        <v>1440</v>
      </c>
      <c r="F93" s="31" t="str">
        <f>IF(D93="","",VLOOKUP(D93,TemplateCode!$A$2:$C$999,3,FALSE))</f>
        <v>Ngày thường</v>
      </c>
      <c r="G93" s="30" t="s">
        <v>31</v>
      </c>
      <c r="H93" s="31" t="str">
        <f>IF(G93="","",VLOOKUP(G93,TemplateCode!$E$2:$G$700,2,FALSE))</f>
        <v>14015595</v>
      </c>
      <c r="I93" s="31" t="str">
        <f>IF(G93="","",VLOOKUP(G93,TemplateCode!$E$2:$G$700,3,FALSE))</f>
        <v>Ca đêm</v>
      </c>
    </row>
    <row r="94" spans="1:9" ht="15.75">
      <c r="A94" s="27">
        <v>43190108</v>
      </c>
      <c r="B94" s="28" t="s">
        <v>94</v>
      </c>
      <c r="C94" s="29" t="s">
        <v>110</v>
      </c>
      <c r="D94" s="30" t="s">
        <v>17</v>
      </c>
      <c r="E94" s="31" t="str">
        <f>IF(D94="","",VLOOKUP(D94,TemplateCode!$A$2:$C$999,2,FALSE))</f>
        <v>1440</v>
      </c>
      <c r="F94" s="31" t="str">
        <f>IF(D94="","",VLOOKUP(D94,TemplateCode!$A$2:$C$999,3,FALSE))</f>
        <v>Ngày thường</v>
      </c>
      <c r="G94" s="30" t="s">
        <v>31</v>
      </c>
      <c r="H94" s="31" t="str">
        <f>IF(G94="","",VLOOKUP(G94,TemplateCode!$E$2:$G$700,2,FALSE))</f>
        <v>14015595</v>
      </c>
      <c r="I94" s="31" t="str">
        <f>IF(G94="","",VLOOKUP(G94,TemplateCode!$E$2:$G$700,3,FALSE))</f>
        <v>Ca đêm</v>
      </c>
    </row>
    <row r="95" spans="1:9" ht="15.75">
      <c r="A95" s="34">
        <v>43190107</v>
      </c>
      <c r="B95" s="34" t="s">
        <v>95</v>
      </c>
      <c r="C95" s="29" t="s">
        <v>110</v>
      </c>
      <c r="D95" s="30" t="s">
        <v>17</v>
      </c>
      <c r="E95" s="31" t="str">
        <f>IF(D95="","",VLOOKUP(D95,TemplateCode!$A$2:$C$999,2,FALSE))</f>
        <v>1440</v>
      </c>
      <c r="F95" s="31" t="str">
        <f>IF(D95="","",VLOOKUP(D95,TemplateCode!$A$2:$C$999,3,FALSE))</f>
        <v>Ngày thường</v>
      </c>
      <c r="G95" s="30" t="s">
        <v>31</v>
      </c>
      <c r="H95" s="31" t="str">
        <f>IF(G95="","",VLOOKUP(G95,TemplateCode!$E$2:$G$700,2,FALSE))</f>
        <v>14015595</v>
      </c>
      <c r="I95" s="31" t="str">
        <f>IF(G95="","",VLOOKUP(G95,TemplateCode!$E$2:$G$700,3,FALSE))</f>
        <v>Ca đêm</v>
      </c>
    </row>
    <row r="96" spans="1:9" ht="15.75">
      <c r="A96" s="27">
        <v>43190129</v>
      </c>
      <c r="B96" s="28" t="s">
        <v>96</v>
      </c>
      <c r="C96" s="29" t="s">
        <v>110</v>
      </c>
      <c r="D96" s="30" t="s">
        <v>17</v>
      </c>
      <c r="E96" s="31" t="str">
        <f>IF(D96="","",VLOOKUP(D96,TemplateCode!$A$2:$C$999,2,FALSE))</f>
        <v>1440</v>
      </c>
      <c r="F96" s="31" t="str">
        <f>IF(D96="","",VLOOKUP(D96,TemplateCode!$A$2:$C$999,3,FALSE))</f>
        <v>Ngày thường</v>
      </c>
      <c r="G96" s="30" t="s">
        <v>31</v>
      </c>
      <c r="H96" s="31" t="str">
        <f>IF(G96="","",VLOOKUP(G96,TemplateCode!$E$2:$G$700,2,FALSE))</f>
        <v>14015595</v>
      </c>
      <c r="I96" s="31" t="str">
        <f>IF(G96="","",VLOOKUP(G96,TemplateCode!$E$2:$G$700,3,FALSE))</f>
        <v>Ca đêm</v>
      </c>
    </row>
    <row r="97" spans="1:9" ht="15.75">
      <c r="A97" s="34">
        <v>43190248</v>
      </c>
      <c r="B97" s="34" t="s">
        <v>97</v>
      </c>
      <c r="C97" s="29" t="s">
        <v>110</v>
      </c>
      <c r="D97" s="30" t="s">
        <v>17</v>
      </c>
      <c r="E97" s="31" t="str">
        <f>IF(D97="","",VLOOKUP(D97,TemplateCode!$A$2:$C$999,2,FALSE))</f>
        <v>1440</v>
      </c>
      <c r="F97" s="31" t="str">
        <f>IF(D97="","",VLOOKUP(D97,TemplateCode!$A$2:$C$999,3,FALSE))</f>
        <v>Ngày thường</v>
      </c>
      <c r="G97" s="30" t="s">
        <v>31</v>
      </c>
      <c r="H97" s="31" t="str">
        <f>IF(G97="","",VLOOKUP(G97,TemplateCode!$E$2:$G$700,2,FALSE))</f>
        <v>14015595</v>
      </c>
      <c r="I97" s="31" t="str">
        <f>IF(G97="","",VLOOKUP(G97,TemplateCode!$E$2:$G$700,3,FALSE))</f>
        <v>Ca đêm</v>
      </c>
    </row>
    <row r="98" spans="1:9" ht="15.75">
      <c r="A98" s="34">
        <v>43190251</v>
      </c>
      <c r="B98" s="34" t="s">
        <v>98</v>
      </c>
      <c r="C98" s="29" t="s">
        <v>110</v>
      </c>
      <c r="D98" s="30" t="s">
        <v>17</v>
      </c>
      <c r="E98" s="31" t="str">
        <f>IF(D98="","",VLOOKUP(D98,TemplateCode!$A$2:$C$999,2,FALSE))</f>
        <v>1440</v>
      </c>
      <c r="F98" s="31" t="str">
        <f>IF(D98="","",VLOOKUP(D98,TemplateCode!$A$2:$C$999,3,FALSE))</f>
        <v>Ngày thường</v>
      </c>
      <c r="G98" s="30" t="s">
        <v>31</v>
      </c>
      <c r="H98" s="31" t="str">
        <f>IF(G98="","",VLOOKUP(G98,TemplateCode!$E$2:$G$700,2,FALSE))</f>
        <v>14015595</v>
      </c>
      <c r="I98" s="31" t="str">
        <f>IF(G98="","",VLOOKUP(G98,TemplateCode!$E$2:$G$700,3,FALSE))</f>
        <v>Ca đêm</v>
      </c>
    </row>
    <row r="99" spans="1:9" ht="15.75">
      <c r="A99" s="34">
        <v>43190278</v>
      </c>
      <c r="B99" s="34" t="s">
        <v>99</v>
      </c>
      <c r="C99" s="29" t="s">
        <v>110</v>
      </c>
      <c r="D99" s="30" t="s">
        <v>17</v>
      </c>
      <c r="E99" s="31" t="str">
        <f>IF(D99="","",VLOOKUP(D99,TemplateCode!$A$2:$C$999,2,FALSE))</f>
        <v>1440</v>
      </c>
      <c r="F99" s="31" t="str">
        <f>IF(D99="","",VLOOKUP(D99,TemplateCode!$A$2:$C$999,3,FALSE))</f>
        <v>Ngày thường</v>
      </c>
      <c r="G99" s="30" t="s">
        <v>31</v>
      </c>
      <c r="H99" s="31" t="str">
        <f>IF(G99="","",VLOOKUP(G99,TemplateCode!$E$2:$G$700,2,FALSE))</f>
        <v>14015595</v>
      </c>
      <c r="I99" s="31" t="str">
        <f>IF(G99="","",VLOOKUP(G99,TemplateCode!$E$2:$G$700,3,FALSE))</f>
        <v>Ca đêm</v>
      </c>
    </row>
    <row r="100" spans="1:9" ht="15.75">
      <c r="A100" s="36">
        <v>43190385</v>
      </c>
      <c r="B100" s="33" t="s">
        <v>100</v>
      </c>
      <c r="C100" s="29" t="s">
        <v>110</v>
      </c>
      <c r="D100" s="30" t="s">
        <v>17</v>
      </c>
      <c r="E100" s="31" t="str">
        <f>IF(D100="","",VLOOKUP(D100,TemplateCode!$A$2:$C$999,2,FALSE))</f>
        <v>1440</v>
      </c>
      <c r="F100" s="31" t="str">
        <f>IF(D100="","",VLOOKUP(D100,TemplateCode!$A$2:$C$999,3,FALSE))</f>
        <v>Ngày thường</v>
      </c>
      <c r="G100" s="30" t="s">
        <v>31</v>
      </c>
      <c r="H100" s="31" t="str">
        <f>IF(G100="","",VLOOKUP(G100,TemplateCode!$E$2:$G$700,2,FALSE))</f>
        <v>14015595</v>
      </c>
      <c r="I100" s="31" t="str">
        <f>IF(G100="","",VLOOKUP(G100,TemplateCode!$E$2:$G$700,3,FALSE))</f>
        <v>Ca đêm</v>
      </c>
    </row>
    <row r="101" spans="1:9" ht="15.75">
      <c r="A101" s="36">
        <v>43190389</v>
      </c>
      <c r="B101" s="33" t="s">
        <v>101</v>
      </c>
      <c r="C101" s="29" t="s">
        <v>110</v>
      </c>
      <c r="D101" s="30" t="s">
        <v>17</v>
      </c>
      <c r="E101" s="31" t="str">
        <f>IF(D101="","",VLOOKUP(D101,TemplateCode!$A$2:$C$999,2,FALSE))</f>
        <v>1440</v>
      </c>
      <c r="F101" s="31" t="str">
        <f>IF(D101="","",VLOOKUP(D101,TemplateCode!$A$2:$C$999,3,FALSE))</f>
        <v>Ngày thường</v>
      </c>
      <c r="G101" s="30" t="s">
        <v>31</v>
      </c>
      <c r="H101" s="31" t="str">
        <f>IF(G101="","",VLOOKUP(G101,TemplateCode!$E$2:$G$700,2,FALSE))</f>
        <v>14015595</v>
      </c>
      <c r="I101" s="31" t="str">
        <f>IF(G101="","",VLOOKUP(G101,TemplateCode!$E$2:$G$700,3,FALSE))</f>
        <v>Ca đêm</v>
      </c>
    </row>
    <row r="102" spans="1:9" ht="15.75">
      <c r="A102" s="35">
        <v>43181469</v>
      </c>
      <c r="B102" s="28" t="s">
        <v>102</v>
      </c>
      <c r="C102" s="29" t="s">
        <v>110</v>
      </c>
      <c r="D102" s="30" t="s">
        <v>17</v>
      </c>
      <c r="E102" s="31" t="str">
        <f>IF(D102="","",VLOOKUP(D102,TemplateCode!$A$2:$C$999,2,FALSE))</f>
        <v>1440</v>
      </c>
      <c r="F102" s="31" t="str">
        <f>IF(D102="","",VLOOKUP(D102,TemplateCode!$A$2:$C$999,3,FALSE))</f>
        <v>Ngày thường</v>
      </c>
      <c r="G102" s="30" t="s">
        <v>31</v>
      </c>
      <c r="H102" s="31" t="str">
        <f>IF(G102="","",VLOOKUP(G102,TemplateCode!$E$2:$G$700,2,FALSE))</f>
        <v>14015595</v>
      </c>
      <c r="I102" s="31" t="str">
        <f>IF(G102="","",VLOOKUP(G102,TemplateCode!$E$2:$G$700,3,FALSE))</f>
        <v>Ca đêm</v>
      </c>
    </row>
    <row r="103" spans="1:9" ht="15.75">
      <c r="A103" s="36">
        <v>43190403</v>
      </c>
      <c r="B103" s="33" t="s">
        <v>103</v>
      </c>
      <c r="C103" s="29" t="s">
        <v>110</v>
      </c>
      <c r="D103" s="30" t="s">
        <v>17</v>
      </c>
      <c r="E103" s="31" t="str">
        <f>IF(D103="","",VLOOKUP(D103,TemplateCode!$A$2:$C$999,2,FALSE))</f>
        <v>1440</v>
      </c>
      <c r="F103" s="31" t="str">
        <f>IF(D103="","",VLOOKUP(D103,TemplateCode!$A$2:$C$999,3,FALSE))</f>
        <v>Ngày thường</v>
      </c>
      <c r="G103" s="30" t="s">
        <v>31</v>
      </c>
      <c r="H103" s="31" t="str">
        <f>IF(G103="","",VLOOKUP(G103,TemplateCode!$E$2:$G$700,2,FALSE))</f>
        <v>14015595</v>
      </c>
      <c r="I103" s="31" t="str">
        <f>IF(G103="","",VLOOKUP(G103,TemplateCode!$E$2:$G$700,3,FALSE))</f>
        <v>Ca đêm</v>
      </c>
    </row>
    <row r="104" spans="1:9" ht="15.75">
      <c r="A104" s="34">
        <v>43190018</v>
      </c>
      <c r="B104" s="34" t="s">
        <v>104</v>
      </c>
      <c r="C104" s="29" t="s">
        <v>110</v>
      </c>
      <c r="D104" s="30" t="s">
        <v>17</v>
      </c>
      <c r="E104" s="31" t="str">
        <f>IF(D104="","",VLOOKUP(D104,TemplateCode!$A$2:$C$999,2,FALSE))</f>
        <v>1440</v>
      </c>
      <c r="F104" s="31" t="str">
        <f>IF(D104="","",VLOOKUP(D104,TemplateCode!$A$2:$C$999,3,FALSE))</f>
        <v>Ngày thường</v>
      </c>
      <c r="G104" s="30" t="s">
        <v>31</v>
      </c>
      <c r="H104" s="31" t="str">
        <f>IF(G104="","",VLOOKUP(G104,TemplateCode!$E$2:$G$700,2,FALSE))</f>
        <v>14015595</v>
      </c>
      <c r="I104" s="31" t="str">
        <f>IF(G104="","",VLOOKUP(G104,TemplateCode!$E$2:$G$700,3,FALSE))</f>
        <v>Ca đêm</v>
      </c>
    </row>
    <row r="105" spans="1:9" ht="15.75">
      <c r="A105" s="36">
        <v>43190460</v>
      </c>
      <c r="B105" s="33" t="s">
        <v>105</v>
      </c>
      <c r="C105" s="29" t="s">
        <v>110</v>
      </c>
      <c r="D105" s="30" t="s">
        <v>17</v>
      </c>
      <c r="E105" s="31" t="str">
        <f>IF(D105="","",VLOOKUP(D105,TemplateCode!$A$2:$C$999,2,FALSE))</f>
        <v>1440</v>
      </c>
      <c r="F105" s="31" t="str">
        <f>IF(D105="","",VLOOKUP(D105,TemplateCode!$A$2:$C$999,3,FALSE))</f>
        <v>Ngày thường</v>
      </c>
      <c r="G105" s="30" t="s">
        <v>31</v>
      </c>
      <c r="H105" s="31" t="str">
        <f>IF(G105="","",VLOOKUP(G105,TemplateCode!$E$2:$G$700,2,FALSE))</f>
        <v>14015595</v>
      </c>
      <c r="I105" s="31" t="str">
        <f>IF(G105="","",VLOOKUP(G105,TemplateCode!$E$2:$G$700,3,FALSE))</f>
        <v>Ca đêm</v>
      </c>
    </row>
    <row r="106" spans="1:9" ht="15.75">
      <c r="A106" s="27">
        <v>43181073</v>
      </c>
      <c r="B106" s="34" t="s">
        <v>106</v>
      </c>
      <c r="C106" s="29" t="s">
        <v>110</v>
      </c>
      <c r="D106" s="30" t="s">
        <v>17</v>
      </c>
      <c r="E106" s="31" t="str">
        <f>IF(D106="","",VLOOKUP(D106,TemplateCode!$A$2:$C$999,2,FALSE))</f>
        <v>1440</v>
      </c>
      <c r="F106" s="31" t="str">
        <f>IF(D106="","",VLOOKUP(D106,TemplateCode!$A$2:$C$999,3,FALSE))</f>
        <v>Ngày thường</v>
      </c>
      <c r="G106" s="30" t="s">
        <v>31</v>
      </c>
      <c r="H106" s="31" t="str">
        <f>IF(G106="","",VLOOKUP(G106,TemplateCode!$E$2:$G$700,2,FALSE))</f>
        <v>14015595</v>
      </c>
      <c r="I106" s="31" t="str">
        <f>IF(G106="","",VLOOKUP(G106,TemplateCode!$E$2:$G$700,3,FALSE))</f>
        <v>Ca đêm</v>
      </c>
    </row>
    <row r="107" spans="1:9" ht="15.75">
      <c r="A107" s="34">
        <v>43190445</v>
      </c>
      <c r="B107" s="34" t="s">
        <v>107</v>
      </c>
      <c r="C107" s="29" t="s">
        <v>110</v>
      </c>
      <c r="D107" s="30" t="s">
        <v>17</v>
      </c>
      <c r="E107" s="31" t="str">
        <f>IF(D107="","",VLOOKUP(D107,TemplateCode!$A$2:$C$999,2,FALSE))</f>
        <v>1440</v>
      </c>
      <c r="F107" s="31" t="str">
        <f>IF(D107="","",VLOOKUP(D107,TemplateCode!$A$2:$C$999,3,FALSE))</f>
        <v>Ngày thường</v>
      </c>
      <c r="G107" s="30" t="s">
        <v>31</v>
      </c>
      <c r="H107" s="31" t="str">
        <f>IF(G107="","",VLOOKUP(G107,TemplateCode!$E$2:$G$700,2,FALSE))</f>
        <v>14015595</v>
      </c>
      <c r="I107" s="31" t="str">
        <f>IF(G107="","",VLOOKUP(G107,TemplateCode!$E$2:$G$700,3,FALSE))</f>
        <v>Ca đêm</v>
      </c>
    </row>
    <row r="108" spans="1:9" ht="15.75">
      <c r="A108" s="34">
        <v>43190243</v>
      </c>
      <c r="B108" s="34" t="s">
        <v>108</v>
      </c>
      <c r="C108" s="29" t="s">
        <v>110</v>
      </c>
      <c r="D108" s="30" t="s">
        <v>17</v>
      </c>
      <c r="E108" s="31" t="str">
        <f>IF(D108="","",VLOOKUP(D108,TemplateCode!$A$2:$C$999,2,FALSE))</f>
        <v>1440</v>
      </c>
      <c r="F108" s="31" t="str">
        <f>IF(D108="","",VLOOKUP(D108,TemplateCode!$A$2:$C$999,3,FALSE))</f>
        <v>Ngày thường</v>
      </c>
      <c r="G108" s="30" t="s">
        <v>31</v>
      </c>
      <c r="H108" s="31" t="str">
        <f>IF(G108="","",VLOOKUP(G108,TemplateCode!$E$2:$G$700,2,FALSE))</f>
        <v>14015595</v>
      </c>
      <c r="I108" s="31" t="str">
        <f>IF(G108="","",VLOOKUP(G108,TemplateCode!$E$2:$G$700,3,FALSE))</f>
        <v>Ca đêm</v>
      </c>
    </row>
    <row r="109" spans="1:9" ht="15.75">
      <c r="A109" s="37">
        <v>43190805</v>
      </c>
      <c r="B109" s="37" t="s">
        <v>109</v>
      </c>
      <c r="C109" s="29" t="s">
        <v>110</v>
      </c>
      <c r="D109" s="30" t="s">
        <v>17</v>
      </c>
      <c r="E109" s="31" t="str">
        <f>IF(D109="","",VLOOKUP(D109,TemplateCode!$A$2:$C$999,2,FALSE))</f>
        <v>1440</v>
      </c>
      <c r="F109" s="31" t="str">
        <f>IF(D109="","",VLOOKUP(D109,TemplateCode!$A$2:$C$999,3,FALSE))</f>
        <v>Ngày thường</v>
      </c>
      <c r="G109" s="30" t="s">
        <v>31</v>
      </c>
      <c r="H109" s="31" t="str">
        <f>IF(G109="","",VLOOKUP(G109,TemplateCode!$E$2:$G$700,2,FALSE))</f>
        <v>14015595</v>
      </c>
      <c r="I109" s="31" t="str">
        <f>IF(G109="","",VLOOKUP(G109,TemplateCode!$E$2:$G$700,3,FALSE))</f>
        <v>Ca đêm</v>
      </c>
    </row>
    <row r="110" spans="1:9" ht="15.75">
      <c r="A110" s="14">
        <v>43181429</v>
      </c>
      <c r="B110" s="14" t="s">
        <v>55</v>
      </c>
      <c r="C110" s="12" t="s">
        <v>111</v>
      </c>
      <c r="D110" s="11" t="s">
        <v>17</v>
      </c>
      <c r="E110" s="10" t="str">
        <f>IF(D110="","",VLOOKUP(D110,TemplateCode!$A$2:$C$999,2,FALSE))</f>
        <v>1440</v>
      </c>
      <c r="F110" s="10" t="str">
        <f>IF(D110="","",VLOOKUP(D110,TemplateCode!$A$2:$C$999,3,FALSE))</f>
        <v>Ngày thường</v>
      </c>
      <c r="G110" s="11" t="s">
        <v>52</v>
      </c>
      <c r="H110" s="10" t="str">
        <f>IF(G110="","",VLOOKUP(G110,TemplateCode!$E$2:$G$700,2,FALSE))</f>
        <v>90000456</v>
      </c>
      <c r="I110" s="10" t="str">
        <f>IF(G110="","",VLOOKUP(G110,TemplateCode!$E$2:$G$700,3,FALSE))</f>
        <v>Ca ngày</v>
      </c>
    </row>
    <row r="111" spans="1:9" ht="15.75">
      <c r="A111" s="15">
        <v>43181308</v>
      </c>
      <c r="B111" s="15" t="s">
        <v>56</v>
      </c>
      <c r="C111" s="12" t="s">
        <v>111</v>
      </c>
      <c r="D111" s="11" t="s">
        <v>17</v>
      </c>
      <c r="E111" s="10" t="str">
        <f>IF(D111="","",VLOOKUP(D111,TemplateCode!$A$2:$C$999,2,FALSE))</f>
        <v>1440</v>
      </c>
      <c r="F111" s="10" t="str">
        <f>IF(D111="","",VLOOKUP(D111,TemplateCode!$A$2:$C$999,3,FALSE))</f>
        <v>Ngày thường</v>
      </c>
      <c r="G111" s="11" t="s">
        <v>52</v>
      </c>
      <c r="H111" s="10" t="str">
        <f>IF(G111="","",VLOOKUP(G111,TemplateCode!$E$2:$G$700,2,FALSE))</f>
        <v>90000456</v>
      </c>
      <c r="I111" s="10" t="str">
        <f>IF(G111="","",VLOOKUP(G111,TemplateCode!$E$2:$G$700,3,FALSE))</f>
        <v>Ca ngày</v>
      </c>
    </row>
    <row r="112" spans="1:9" ht="15.75">
      <c r="A112" s="16">
        <v>43181355</v>
      </c>
      <c r="B112" s="17" t="s">
        <v>57</v>
      </c>
      <c r="C112" s="12" t="s">
        <v>111</v>
      </c>
      <c r="D112" s="11" t="s">
        <v>17</v>
      </c>
      <c r="E112" s="10" t="str">
        <f>IF(D112="","",VLOOKUP(D112,TemplateCode!$A$2:$C$999,2,FALSE))</f>
        <v>1440</v>
      </c>
      <c r="F112" s="10" t="str">
        <f>IF(D112="","",VLOOKUP(D112,TemplateCode!$A$2:$C$999,3,FALSE))</f>
        <v>Ngày thường</v>
      </c>
      <c r="G112" s="11" t="s">
        <v>52</v>
      </c>
      <c r="H112" s="10" t="str">
        <f>IF(G112="","",VLOOKUP(G112,TemplateCode!$E$2:$G$700,2,FALSE))</f>
        <v>90000456</v>
      </c>
      <c r="I112" s="10" t="str">
        <f>IF(G112="","",VLOOKUP(G112,TemplateCode!$E$2:$G$700,3,FALSE))</f>
        <v>Ca ngày</v>
      </c>
    </row>
    <row r="113" spans="1:9" ht="15.75">
      <c r="A113" s="15">
        <v>43181462</v>
      </c>
      <c r="B113" s="17" t="s">
        <v>58</v>
      </c>
      <c r="C113" s="12" t="s">
        <v>111</v>
      </c>
      <c r="D113" s="11" t="s">
        <v>17</v>
      </c>
      <c r="E113" s="10" t="str">
        <f>IF(D113="","",VLOOKUP(D113,TemplateCode!$A$2:$C$999,2,FALSE))</f>
        <v>1440</v>
      </c>
      <c r="F113" s="10" t="str">
        <f>IF(D113="","",VLOOKUP(D113,TemplateCode!$A$2:$C$999,3,FALSE))</f>
        <v>Ngày thường</v>
      </c>
      <c r="G113" s="11" t="s">
        <v>52</v>
      </c>
      <c r="H113" s="10" t="str">
        <f>IF(G113="","",VLOOKUP(G113,TemplateCode!$E$2:$G$700,2,FALSE))</f>
        <v>90000456</v>
      </c>
      <c r="I113" s="10" t="str">
        <f>IF(G113="","",VLOOKUP(G113,TemplateCode!$E$2:$G$700,3,FALSE))</f>
        <v>Ca ngày</v>
      </c>
    </row>
    <row r="114" spans="1:9" ht="15.75">
      <c r="A114" s="18">
        <v>43181463</v>
      </c>
      <c r="B114" s="17" t="s">
        <v>59</v>
      </c>
      <c r="C114" s="12" t="s">
        <v>111</v>
      </c>
      <c r="D114" s="11" t="s">
        <v>17</v>
      </c>
      <c r="E114" s="10" t="str">
        <f>IF(D114="","",VLOOKUP(D114,TemplateCode!$A$2:$C$999,2,FALSE))</f>
        <v>1440</v>
      </c>
      <c r="F114" s="10" t="str">
        <f>IF(D114="","",VLOOKUP(D114,TemplateCode!$A$2:$C$999,3,FALSE))</f>
        <v>Ngày thường</v>
      </c>
      <c r="G114" s="11" t="s">
        <v>52</v>
      </c>
      <c r="H114" s="10" t="str">
        <f>IF(G114="","",VLOOKUP(G114,TemplateCode!$E$2:$G$700,2,FALSE))</f>
        <v>90000456</v>
      </c>
      <c r="I114" s="10" t="str">
        <f>IF(G114="","",VLOOKUP(G114,TemplateCode!$E$2:$G$700,3,FALSE))</f>
        <v>Ca ngày</v>
      </c>
    </row>
    <row r="115" spans="1:9" ht="15.75">
      <c r="A115" s="15">
        <v>43181487</v>
      </c>
      <c r="B115" s="15" t="s">
        <v>60</v>
      </c>
      <c r="C115" s="12" t="s">
        <v>111</v>
      </c>
      <c r="D115" s="11" t="s">
        <v>17</v>
      </c>
      <c r="E115" s="10" t="str">
        <f>IF(D115="","",VLOOKUP(D115,TemplateCode!$A$2:$C$999,2,FALSE))</f>
        <v>1440</v>
      </c>
      <c r="F115" s="10" t="str">
        <f>IF(D115="","",VLOOKUP(D115,TemplateCode!$A$2:$C$999,3,FALSE))</f>
        <v>Ngày thường</v>
      </c>
      <c r="G115" s="11" t="s">
        <v>52</v>
      </c>
      <c r="H115" s="10" t="str">
        <f>IF(G115="","",VLOOKUP(G115,TemplateCode!$E$2:$G$700,2,FALSE))</f>
        <v>90000456</v>
      </c>
      <c r="I115" s="10" t="str">
        <f>IF(G115="","",VLOOKUP(G115,TemplateCode!$E$2:$G$700,3,FALSE))</f>
        <v>Ca ngày</v>
      </c>
    </row>
    <row r="116" spans="1:9" ht="15.75">
      <c r="A116" s="15">
        <v>43181490</v>
      </c>
      <c r="B116" s="15" t="s">
        <v>61</v>
      </c>
      <c r="C116" s="12" t="s">
        <v>111</v>
      </c>
      <c r="D116" s="11" t="s">
        <v>17</v>
      </c>
      <c r="E116" s="10" t="str">
        <f>IF(D116="","",VLOOKUP(D116,TemplateCode!$A$2:$C$999,2,FALSE))</f>
        <v>1440</v>
      </c>
      <c r="F116" s="10" t="str">
        <f>IF(D116="","",VLOOKUP(D116,TemplateCode!$A$2:$C$999,3,FALSE))</f>
        <v>Ngày thường</v>
      </c>
      <c r="G116" s="11" t="s">
        <v>52</v>
      </c>
      <c r="H116" s="10" t="str">
        <f>IF(G116="","",VLOOKUP(G116,TemplateCode!$E$2:$G$700,2,FALSE))</f>
        <v>90000456</v>
      </c>
      <c r="I116" s="10" t="str">
        <f>IF(G116="","",VLOOKUP(G116,TemplateCode!$E$2:$G$700,3,FALSE))</f>
        <v>Ca ngày</v>
      </c>
    </row>
    <row r="117" spans="1:9" ht="15.75">
      <c r="A117" s="15">
        <v>43190015</v>
      </c>
      <c r="B117" s="15" t="s">
        <v>62</v>
      </c>
      <c r="C117" s="12" t="s">
        <v>111</v>
      </c>
      <c r="D117" s="11" t="s">
        <v>17</v>
      </c>
      <c r="E117" s="10" t="str">
        <f>IF(D117="","",VLOOKUP(D117,TemplateCode!$A$2:$C$999,2,FALSE))</f>
        <v>1440</v>
      </c>
      <c r="F117" s="10" t="str">
        <f>IF(D117="","",VLOOKUP(D117,TemplateCode!$A$2:$C$999,3,FALSE))</f>
        <v>Ngày thường</v>
      </c>
      <c r="G117" s="11" t="s">
        <v>52</v>
      </c>
      <c r="H117" s="10" t="str">
        <f>IF(G117="","",VLOOKUP(G117,TemplateCode!$E$2:$G$700,2,FALSE))</f>
        <v>90000456</v>
      </c>
      <c r="I117" s="10" t="str">
        <f>IF(G117="","",VLOOKUP(G117,TemplateCode!$E$2:$G$700,3,FALSE))</f>
        <v>Ca ngày</v>
      </c>
    </row>
    <row r="118" spans="1:9" ht="15.75">
      <c r="A118" s="15">
        <v>43190023</v>
      </c>
      <c r="B118" s="15" t="s">
        <v>63</v>
      </c>
      <c r="C118" s="12" t="s">
        <v>111</v>
      </c>
      <c r="D118" s="11" t="s">
        <v>17</v>
      </c>
      <c r="E118" s="10" t="str">
        <f>IF(D118="","",VLOOKUP(D118,TemplateCode!$A$2:$C$999,2,FALSE))</f>
        <v>1440</v>
      </c>
      <c r="F118" s="10" t="str">
        <f>IF(D118="","",VLOOKUP(D118,TemplateCode!$A$2:$C$999,3,FALSE))</f>
        <v>Ngày thường</v>
      </c>
      <c r="G118" s="11" t="s">
        <v>52</v>
      </c>
      <c r="H118" s="10" t="str">
        <f>IF(G118="","",VLOOKUP(G118,TemplateCode!$E$2:$G$700,2,FALSE))</f>
        <v>90000456</v>
      </c>
      <c r="I118" s="10" t="str">
        <f>IF(G118="","",VLOOKUP(G118,TemplateCode!$E$2:$G$700,3,FALSE))</f>
        <v>Ca ngày</v>
      </c>
    </row>
    <row r="119" spans="1:9" ht="15.75">
      <c r="A119" s="15">
        <v>43190030</v>
      </c>
      <c r="B119" s="15" t="s">
        <v>64</v>
      </c>
      <c r="C119" s="12" t="s">
        <v>111</v>
      </c>
      <c r="D119" s="11" t="s">
        <v>17</v>
      </c>
      <c r="E119" s="10" t="str">
        <f>IF(D119="","",VLOOKUP(D119,TemplateCode!$A$2:$C$999,2,FALSE))</f>
        <v>1440</v>
      </c>
      <c r="F119" s="10" t="str">
        <f>IF(D119="","",VLOOKUP(D119,TemplateCode!$A$2:$C$999,3,FALSE))</f>
        <v>Ngày thường</v>
      </c>
      <c r="G119" s="11" t="s">
        <v>52</v>
      </c>
      <c r="H119" s="10" t="str">
        <f>IF(G119="","",VLOOKUP(G119,TemplateCode!$E$2:$G$700,2,FALSE))</f>
        <v>90000456</v>
      </c>
      <c r="I119" s="10" t="str">
        <f>IF(G119="","",VLOOKUP(G119,TemplateCode!$E$2:$G$700,3,FALSE))</f>
        <v>Ca ngày</v>
      </c>
    </row>
    <row r="120" spans="1:9" ht="15.75">
      <c r="A120" s="15">
        <v>43190041</v>
      </c>
      <c r="B120" s="15" t="s">
        <v>65</v>
      </c>
      <c r="C120" s="12" t="s">
        <v>111</v>
      </c>
      <c r="D120" s="11" t="s">
        <v>17</v>
      </c>
      <c r="E120" s="10" t="str">
        <f>IF(D120="","",VLOOKUP(D120,TemplateCode!$A$2:$C$999,2,FALSE))</f>
        <v>1440</v>
      </c>
      <c r="F120" s="10" t="str">
        <f>IF(D120="","",VLOOKUP(D120,TemplateCode!$A$2:$C$999,3,FALSE))</f>
        <v>Ngày thường</v>
      </c>
      <c r="G120" s="11" t="s">
        <v>52</v>
      </c>
      <c r="H120" s="10" t="str">
        <f>IF(G120="","",VLOOKUP(G120,TemplateCode!$E$2:$G$700,2,FALSE))</f>
        <v>90000456</v>
      </c>
      <c r="I120" s="10" t="str">
        <f>IF(G120="","",VLOOKUP(G120,TemplateCode!$E$2:$G$700,3,FALSE))</f>
        <v>Ca ngày</v>
      </c>
    </row>
    <row r="121" spans="1:9" ht="15.75">
      <c r="A121" s="16">
        <v>43190065</v>
      </c>
      <c r="B121" s="15" t="s">
        <v>66</v>
      </c>
      <c r="C121" s="12" t="s">
        <v>111</v>
      </c>
      <c r="D121" s="11" t="s">
        <v>17</v>
      </c>
      <c r="E121" s="10" t="str">
        <f>IF(D121="","",VLOOKUP(D121,TemplateCode!$A$2:$C$999,2,FALSE))</f>
        <v>1440</v>
      </c>
      <c r="F121" s="10" t="str">
        <f>IF(D121="","",VLOOKUP(D121,TemplateCode!$A$2:$C$999,3,FALSE))</f>
        <v>Ngày thường</v>
      </c>
      <c r="G121" s="11" t="s">
        <v>52</v>
      </c>
      <c r="H121" s="10" t="str">
        <f>IF(G121="","",VLOOKUP(G121,TemplateCode!$E$2:$G$700,2,FALSE))</f>
        <v>90000456</v>
      </c>
      <c r="I121" s="10" t="str">
        <f>IF(G121="","",VLOOKUP(G121,TemplateCode!$E$2:$G$700,3,FALSE))</f>
        <v>Ca ngày</v>
      </c>
    </row>
    <row r="122" spans="1:9" ht="15.75">
      <c r="A122" s="16">
        <v>43190105</v>
      </c>
      <c r="B122" s="15" t="s">
        <v>67</v>
      </c>
      <c r="C122" s="12" t="s">
        <v>111</v>
      </c>
      <c r="D122" s="11" t="s">
        <v>17</v>
      </c>
      <c r="E122" s="10" t="str">
        <f>IF(D122="","",VLOOKUP(D122,TemplateCode!$A$2:$C$999,2,FALSE))</f>
        <v>1440</v>
      </c>
      <c r="F122" s="10" t="str">
        <f>IF(D122="","",VLOOKUP(D122,TemplateCode!$A$2:$C$999,3,FALSE))</f>
        <v>Ngày thường</v>
      </c>
      <c r="G122" s="11" t="s">
        <v>52</v>
      </c>
      <c r="H122" s="10" t="str">
        <f>IF(G122="","",VLOOKUP(G122,TemplateCode!$E$2:$G$700,2,FALSE))</f>
        <v>90000456</v>
      </c>
      <c r="I122" s="10" t="str">
        <f>IF(G122="","",VLOOKUP(G122,TemplateCode!$E$2:$G$700,3,FALSE))</f>
        <v>Ca ngày</v>
      </c>
    </row>
    <row r="123" spans="1:9" ht="15.75">
      <c r="A123" s="16">
        <v>43190109</v>
      </c>
      <c r="B123" s="17" t="s">
        <v>68</v>
      </c>
      <c r="C123" s="12" t="s">
        <v>111</v>
      </c>
      <c r="D123" s="11" t="s">
        <v>17</v>
      </c>
      <c r="E123" s="10" t="str">
        <f>IF(D123="","",VLOOKUP(D123,TemplateCode!$A$2:$C$999,2,FALSE))</f>
        <v>1440</v>
      </c>
      <c r="F123" s="10" t="str">
        <f>IF(D123="","",VLOOKUP(D123,TemplateCode!$A$2:$C$999,3,FALSE))</f>
        <v>Ngày thường</v>
      </c>
      <c r="G123" s="11" t="s">
        <v>52</v>
      </c>
      <c r="H123" s="10" t="str">
        <f>IF(G123="","",VLOOKUP(G123,TemplateCode!$E$2:$G$700,2,FALSE))</f>
        <v>90000456</v>
      </c>
      <c r="I123" s="10" t="str">
        <f>IF(G123="","",VLOOKUP(G123,TemplateCode!$E$2:$G$700,3,FALSE))</f>
        <v>Ca ngày</v>
      </c>
    </row>
    <row r="124" spans="1:9" ht="15.75">
      <c r="A124" s="18">
        <v>43190124</v>
      </c>
      <c r="B124" s="17" t="s">
        <v>69</v>
      </c>
      <c r="C124" s="12" t="s">
        <v>111</v>
      </c>
      <c r="D124" s="11" t="s">
        <v>17</v>
      </c>
      <c r="E124" s="10" t="str">
        <f>IF(D124="","",VLOOKUP(D124,TemplateCode!$A$2:$C$999,2,FALSE))</f>
        <v>1440</v>
      </c>
      <c r="F124" s="10" t="str">
        <f>IF(D124="","",VLOOKUP(D124,TemplateCode!$A$2:$C$999,3,FALSE))</f>
        <v>Ngày thường</v>
      </c>
      <c r="G124" s="11" t="s">
        <v>52</v>
      </c>
      <c r="H124" s="10" t="str">
        <f>IF(G124="","",VLOOKUP(G124,TemplateCode!$E$2:$G$700,2,FALSE))</f>
        <v>90000456</v>
      </c>
      <c r="I124" s="10" t="str">
        <f>IF(G124="","",VLOOKUP(G124,TemplateCode!$E$2:$G$700,3,FALSE))</f>
        <v>Ca ngày</v>
      </c>
    </row>
    <row r="125" spans="1:9" ht="15.75">
      <c r="A125" s="15">
        <v>43190125</v>
      </c>
      <c r="B125" s="15" t="s">
        <v>70</v>
      </c>
      <c r="C125" s="12" t="s">
        <v>111</v>
      </c>
      <c r="D125" s="11" t="s">
        <v>17</v>
      </c>
      <c r="E125" s="10" t="str">
        <f>IF(D125="","",VLOOKUP(D125,TemplateCode!$A$2:$C$999,2,FALSE))</f>
        <v>1440</v>
      </c>
      <c r="F125" s="10" t="str">
        <f>IF(D125="","",VLOOKUP(D125,TemplateCode!$A$2:$C$999,3,FALSE))</f>
        <v>Ngày thường</v>
      </c>
      <c r="G125" s="11" t="s">
        <v>52</v>
      </c>
      <c r="H125" s="10" t="str">
        <f>IF(G125="","",VLOOKUP(G125,TemplateCode!$E$2:$G$700,2,FALSE))</f>
        <v>90000456</v>
      </c>
      <c r="I125" s="10" t="str">
        <f>IF(G125="","",VLOOKUP(G125,TemplateCode!$E$2:$G$700,3,FALSE))</f>
        <v>Ca ngày</v>
      </c>
    </row>
    <row r="126" spans="1:9" ht="15.75">
      <c r="A126" s="15">
        <v>43190126</v>
      </c>
      <c r="B126" s="15" t="s">
        <v>71</v>
      </c>
      <c r="C126" s="12" t="s">
        <v>111</v>
      </c>
      <c r="D126" s="11" t="s">
        <v>17</v>
      </c>
      <c r="E126" s="10" t="str">
        <f>IF(D126="","",VLOOKUP(D126,TemplateCode!$A$2:$C$999,2,FALSE))</f>
        <v>1440</v>
      </c>
      <c r="F126" s="10" t="str">
        <f>IF(D126="","",VLOOKUP(D126,TemplateCode!$A$2:$C$999,3,FALSE))</f>
        <v>Ngày thường</v>
      </c>
      <c r="G126" s="11" t="s">
        <v>52</v>
      </c>
      <c r="H126" s="10" t="str">
        <f>IF(G126="","",VLOOKUP(G126,TemplateCode!$E$2:$G$700,2,FALSE))</f>
        <v>90000456</v>
      </c>
      <c r="I126" s="10" t="str">
        <f>IF(G126="","",VLOOKUP(G126,TemplateCode!$E$2:$G$700,3,FALSE))</f>
        <v>Ca ngày</v>
      </c>
    </row>
    <row r="127" spans="1:9" ht="15.75">
      <c r="A127" s="15">
        <v>43190169</v>
      </c>
      <c r="B127" s="15" t="s">
        <v>72</v>
      </c>
      <c r="C127" s="12" t="s">
        <v>111</v>
      </c>
      <c r="D127" s="11" t="s">
        <v>17</v>
      </c>
      <c r="E127" s="10" t="str">
        <f>IF(D127="","",VLOOKUP(D127,TemplateCode!$A$2:$C$999,2,FALSE))</f>
        <v>1440</v>
      </c>
      <c r="F127" s="10" t="str">
        <f>IF(D127="","",VLOOKUP(D127,TemplateCode!$A$2:$C$999,3,FALSE))</f>
        <v>Ngày thường</v>
      </c>
      <c r="G127" s="11" t="s">
        <v>52</v>
      </c>
      <c r="H127" s="10" t="str">
        <f>IF(G127="","",VLOOKUP(G127,TemplateCode!$E$2:$G$700,2,FALSE))</f>
        <v>90000456</v>
      </c>
      <c r="I127" s="10" t="str">
        <f>IF(G127="","",VLOOKUP(G127,TemplateCode!$E$2:$G$700,3,FALSE))</f>
        <v>Ca ngày</v>
      </c>
    </row>
    <row r="128" spans="1:9" ht="15.75">
      <c r="A128" s="16">
        <v>43190163</v>
      </c>
      <c r="B128" s="17" t="s">
        <v>73</v>
      </c>
      <c r="C128" s="12" t="s">
        <v>111</v>
      </c>
      <c r="D128" s="11" t="s">
        <v>17</v>
      </c>
      <c r="E128" s="10" t="str">
        <f>IF(D128="","",VLOOKUP(D128,TemplateCode!$A$2:$C$999,2,FALSE))</f>
        <v>1440</v>
      </c>
      <c r="F128" s="10" t="str">
        <f>IF(D128="","",VLOOKUP(D128,TemplateCode!$A$2:$C$999,3,FALSE))</f>
        <v>Ngày thường</v>
      </c>
      <c r="G128" s="11" t="s">
        <v>52</v>
      </c>
      <c r="H128" s="10" t="str">
        <f>IF(G128="","",VLOOKUP(G128,TemplateCode!$E$2:$G$700,2,FALSE))</f>
        <v>90000456</v>
      </c>
      <c r="I128" s="10" t="str">
        <f>IF(G128="","",VLOOKUP(G128,TemplateCode!$E$2:$G$700,3,FALSE))</f>
        <v>Ca ngày</v>
      </c>
    </row>
    <row r="129" spans="1:9" ht="15.75">
      <c r="A129" s="19">
        <v>43190435</v>
      </c>
      <c r="B129" s="20" t="s">
        <v>74</v>
      </c>
      <c r="C129" s="12" t="s">
        <v>111</v>
      </c>
      <c r="D129" s="11" t="s">
        <v>17</v>
      </c>
      <c r="E129" s="10" t="str">
        <f>IF(D129="","",VLOOKUP(D129,TemplateCode!$A$2:$C$999,2,FALSE))</f>
        <v>1440</v>
      </c>
      <c r="F129" s="10" t="str">
        <f>IF(D129="","",VLOOKUP(D129,TemplateCode!$A$2:$C$999,3,FALSE))</f>
        <v>Ngày thường</v>
      </c>
      <c r="G129" s="11" t="s">
        <v>52</v>
      </c>
      <c r="H129" s="10" t="str">
        <f>IF(G129="","",VLOOKUP(G129,TemplateCode!$E$2:$G$700,2,FALSE))</f>
        <v>90000456</v>
      </c>
      <c r="I129" s="10" t="str">
        <f>IF(G129="","",VLOOKUP(G129,TemplateCode!$E$2:$G$700,3,FALSE))</f>
        <v>Ca ngày</v>
      </c>
    </row>
    <row r="130" spans="1:9" ht="15.75">
      <c r="A130" s="21">
        <v>43190459</v>
      </c>
      <c r="B130" s="20" t="s">
        <v>75</v>
      </c>
      <c r="C130" s="12" t="s">
        <v>111</v>
      </c>
      <c r="D130" s="11" t="s">
        <v>17</v>
      </c>
      <c r="E130" s="10" t="str">
        <f>IF(D130="","",VLOOKUP(D130,TemplateCode!$A$2:$C$999,2,FALSE))</f>
        <v>1440</v>
      </c>
      <c r="F130" s="10" t="str">
        <f>IF(D130="","",VLOOKUP(D130,TemplateCode!$A$2:$C$999,3,FALSE))</f>
        <v>Ngày thường</v>
      </c>
      <c r="G130" s="11" t="s">
        <v>52</v>
      </c>
      <c r="H130" s="10" t="str">
        <f>IF(G130="","",VLOOKUP(G130,TemplateCode!$E$2:$G$700,2,FALSE))</f>
        <v>90000456</v>
      </c>
      <c r="I130" s="10" t="str">
        <f>IF(G130="","",VLOOKUP(G130,TemplateCode!$E$2:$G$700,3,FALSE))</f>
        <v>Ca ngày</v>
      </c>
    </row>
    <row r="131" spans="1:9" ht="15.75">
      <c r="A131" s="19">
        <v>43190506</v>
      </c>
      <c r="B131" s="20" t="s">
        <v>76</v>
      </c>
      <c r="C131" s="12" t="s">
        <v>111</v>
      </c>
      <c r="D131" s="11" t="s">
        <v>17</v>
      </c>
      <c r="E131" s="10" t="str">
        <f>IF(D131="","",VLOOKUP(D131,TemplateCode!$A$2:$C$999,2,FALSE))</f>
        <v>1440</v>
      </c>
      <c r="F131" s="10" t="str">
        <f>IF(D131="","",VLOOKUP(D131,TemplateCode!$A$2:$C$999,3,FALSE))</f>
        <v>Ngày thường</v>
      </c>
      <c r="G131" s="11" t="s">
        <v>52</v>
      </c>
      <c r="H131" s="10" t="str">
        <f>IF(G131="","",VLOOKUP(G131,TemplateCode!$E$2:$G$700,2,FALSE))</f>
        <v>90000456</v>
      </c>
      <c r="I131" s="10" t="str">
        <f>IF(G131="","",VLOOKUP(G131,TemplateCode!$E$2:$G$700,3,FALSE))</f>
        <v>Ca ngày</v>
      </c>
    </row>
    <row r="132" spans="1:9" ht="15.75">
      <c r="A132" s="22">
        <v>43190785</v>
      </c>
      <c r="B132" s="22" t="s">
        <v>77</v>
      </c>
      <c r="C132" s="12" t="s">
        <v>111</v>
      </c>
      <c r="D132" s="11" t="s">
        <v>17</v>
      </c>
      <c r="E132" s="10" t="str">
        <f>IF(D132="","",VLOOKUP(D132,TemplateCode!$A$2:$C$999,2,FALSE))</f>
        <v>1440</v>
      </c>
      <c r="F132" s="10" t="str">
        <f>IF(D132="","",VLOOKUP(D132,TemplateCode!$A$2:$C$999,3,FALSE))</f>
        <v>Ngày thường</v>
      </c>
      <c r="G132" s="11" t="s">
        <v>52</v>
      </c>
      <c r="H132" s="10" t="str">
        <f>IF(G132="","",VLOOKUP(G132,TemplateCode!$E$2:$G$700,2,FALSE))</f>
        <v>90000456</v>
      </c>
      <c r="I132" s="10" t="str">
        <f>IF(G132="","",VLOOKUP(G132,TemplateCode!$E$2:$G$700,3,FALSE))</f>
        <v>Ca ngày</v>
      </c>
    </row>
    <row r="133" spans="1:9" ht="18.75">
      <c r="A133" s="13">
        <v>43190799</v>
      </c>
      <c r="B133" s="23" t="s">
        <v>78</v>
      </c>
      <c r="C133" s="12" t="s">
        <v>111</v>
      </c>
      <c r="D133" s="11" t="s">
        <v>17</v>
      </c>
      <c r="E133" s="10" t="str">
        <f>IF(D133="","",VLOOKUP(D133,TemplateCode!$A$2:$C$999,2,FALSE))</f>
        <v>1440</v>
      </c>
      <c r="F133" s="10" t="str">
        <f>IF(D133="","",VLOOKUP(D133,TemplateCode!$A$2:$C$999,3,FALSE))</f>
        <v>Ngày thường</v>
      </c>
      <c r="G133" s="11" t="s">
        <v>52</v>
      </c>
      <c r="H133" s="10" t="str">
        <f>IF(G133="","",VLOOKUP(G133,TemplateCode!$E$2:$G$700,2,FALSE))</f>
        <v>90000456</v>
      </c>
      <c r="I133" s="10" t="str">
        <f>IF(G133="","",VLOOKUP(G133,TemplateCode!$E$2:$G$700,3,FALSE))</f>
        <v>Ca ngày</v>
      </c>
    </row>
    <row r="134" spans="1:9" ht="18.75">
      <c r="A134" s="13">
        <v>43190800</v>
      </c>
      <c r="B134" s="23" t="s">
        <v>79</v>
      </c>
      <c r="C134" s="12" t="s">
        <v>111</v>
      </c>
      <c r="D134" s="11" t="s">
        <v>17</v>
      </c>
      <c r="E134" s="10" t="str">
        <f>IF(D134="","",VLOOKUP(D134,TemplateCode!$A$2:$C$999,2,FALSE))</f>
        <v>1440</v>
      </c>
      <c r="F134" s="10" t="str">
        <f>IF(D134="","",VLOOKUP(D134,TemplateCode!$A$2:$C$999,3,FALSE))</f>
        <v>Ngày thường</v>
      </c>
      <c r="G134" s="11" t="s">
        <v>52</v>
      </c>
      <c r="H134" s="10" t="str">
        <f>IF(G134="","",VLOOKUP(G134,TemplateCode!$E$2:$G$700,2,FALSE))</f>
        <v>90000456</v>
      </c>
      <c r="I134" s="10" t="str">
        <f>IF(G134="","",VLOOKUP(G134,TemplateCode!$E$2:$G$700,3,FALSE))</f>
        <v>Ca ngày</v>
      </c>
    </row>
    <row r="135" spans="1:9" ht="15.75">
      <c r="A135" s="24">
        <v>43190817</v>
      </c>
      <c r="B135" s="25" t="s">
        <v>80</v>
      </c>
      <c r="C135" s="12" t="s">
        <v>111</v>
      </c>
      <c r="D135" s="11" t="s">
        <v>17</v>
      </c>
      <c r="E135" s="10" t="str">
        <f>IF(D135="","",VLOOKUP(D135,TemplateCode!$A$2:$C$999,2,FALSE))</f>
        <v>1440</v>
      </c>
      <c r="F135" s="10" t="str">
        <f>IF(D135="","",VLOOKUP(D135,TemplateCode!$A$2:$C$999,3,FALSE))</f>
        <v>Ngày thường</v>
      </c>
      <c r="G135" s="11" t="s">
        <v>52</v>
      </c>
      <c r="H135" s="10" t="str">
        <f>IF(G135="","",VLOOKUP(G135,TemplateCode!$E$2:$G$700,2,FALSE))</f>
        <v>90000456</v>
      </c>
      <c r="I135" s="10" t="str">
        <f>IF(G135="","",VLOOKUP(G135,TemplateCode!$E$2:$G$700,3,FALSE))</f>
        <v>Ca ngày</v>
      </c>
    </row>
    <row r="136" spans="1:9" ht="15.75">
      <c r="A136" s="26">
        <v>43190892</v>
      </c>
      <c r="B136" s="22" t="s">
        <v>81</v>
      </c>
      <c r="C136" s="12" t="s">
        <v>111</v>
      </c>
      <c r="D136" s="11" t="s">
        <v>17</v>
      </c>
      <c r="E136" s="10" t="str">
        <f>IF(D136="","",VLOOKUP(D136,TemplateCode!$A$2:$C$999,2,FALSE))</f>
        <v>1440</v>
      </c>
      <c r="F136" s="10" t="str">
        <f>IF(D136="","",VLOOKUP(D136,TemplateCode!$A$2:$C$999,3,FALSE))</f>
        <v>Ngày thường</v>
      </c>
      <c r="G136" s="11" t="s">
        <v>52</v>
      </c>
      <c r="H136" s="10" t="str">
        <f>IF(G136="","",VLOOKUP(G136,TemplateCode!$E$2:$G$700,2,FALSE))</f>
        <v>90000456</v>
      </c>
      <c r="I136" s="10" t="str">
        <f>IF(G136="","",VLOOKUP(G136,TemplateCode!$E$2:$G$700,3,FALSE))</f>
        <v>Ca ngày</v>
      </c>
    </row>
    <row r="137" spans="1:9" ht="15.75">
      <c r="A137" s="26">
        <v>43190893</v>
      </c>
      <c r="B137" s="22" t="s">
        <v>82</v>
      </c>
      <c r="C137" s="12" t="s">
        <v>111</v>
      </c>
      <c r="D137" s="11" t="s">
        <v>17</v>
      </c>
      <c r="E137" s="10" t="str">
        <f>IF(D137="","",VLOOKUP(D137,TemplateCode!$A$2:$C$999,2,FALSE))</f>
        <v>1440</v>
      </c>
      <c r="F137" s="10" t="str">
        <f>IF(D137="","",VLOOKUP(D137,TemplateCode!$A$2:$C$999,3,FALSE))</f>
        <v>Ngày thường</v>
      </c>
      <c r="G137" s="11" t="s">
        <v>52</v>
      </c>
      <c r="H137" s="10" t="str">
        <f>IF(G137="","",VLOOKUP(G137,TemplateCode!$E$2:$G$700,2,FALSE))</f>
        <v>90000456</v>
      </c>
      <c r="I137" s="10" t="str">
        <f>IF(G137="","",VLOOKUP(G137,TemplateCode!$E$2:$G$700,3,FALSE))</f>
        <v>Ca ngày</v>
      </c>
    </row>
    <row r="138" spans="1:9" ht="15.75">
      <c r="A138" s="27">
        <v>43190244</v>
      </c>
      <c r="B138" s="28" t="s">
        <v>84</v>
      </c>
      <c r="C138" s="29" t="s">
        <v>111</v>
      </c>
      <c r="D138" s="30" t="s">
        <v>17</v>
      </c>
      <c r="E138" s="31" t="str">
        <f>IF(D138="","",VLOOKUP(D138,TemplateCode!$A$2:$C$999,2,FALSE))</f>
        <v>1440</v>
      </c>
      <c r="F138" s="31" t="str">
        <f>IF(D138="","",VLOOKUP(D138,TemplateCode!$A$2:$C$999,3,FALSE))</f>
        <v>Ngày thường</v>
      </c>
      <c r="G138" s="30" t="s">
        <v>31</v>
      </c>
      <c r="H138" s="31" t="str">
        <f>IF(G138="","",VLOOKUP(G138,TemplateCode!$E$2:$G$700,2,FALSE))</f>
        <v>14015595</v>
      </c>
      <c r="I138" s="31" t="str">
        <f>IF(G138="","",VLOOKUP(G138,TemplateCode!$E$2:$G$700,3,FALSE))</f>
        <v>Ca đêm</v>
      </c>
    </row>
    <row r="139" spans="1:9" ht="15.75">
      <c r="A139" s="32">
        <v>43190464</v>
      </c>
      <c r="B139" s="33" t="s">
        <v>85</v>
      </c>
      <c r="C139" s="29" t="s">
        <v>111</v>
      </c>
      <c r="D139" s="30" t="s">
        <v>17</v>
      </c>
      <c r="E139" s="31" t="str">
        <f>IF(D139="","",VLOOKUP(D139,TemplateCode!$A$2:$C$999,2,FALSE))</f>
        <v>1440</v>
      </c>
      <c r="F139" s="31" t="str">
        <f>IF(D139="","",VLOOKUP(D139,TemplateCode!$A$2:$C$999,3,FALSE))</f>
        <v>Ngày thường</v>
      </c>
      <c r="G139" s="30" t="s">
        <v>31</v>
      </c>
      <c r="H139" s="31" t="str">
        <f>IF(G139="","",VLOOKUP(G139,TemplateCode!$E$2:$G$700,2,FALSE))</f>
        <v>14015595</v>
      </c>
      <c r="I139" s="31" t="str">
        <f>IF(G139="","",VLOOKUP(G139,TemplateCode!$E$2:$G$700,3,FALSE))</f>
        <v>Ca đêm</v>
      </c>
    </row>
    <row r="140" spans="1:9" ht="15.75">
      <c r="A140" s="34">
        <v>43180875</v>
      </c>
      <c r="B140" s="34" t="s">
        <v>86</v>
      </c>
      <c r="C140" s="29" t="s">
        <v>111</v>
      </c>
      <c r="D140" s="30" t="s">
        <v>17</v>
      </c>
      <c r="E140" s="31" t="str">
        <f>IF(D140="","",VLOOKUP(D140,TemplateCode!$A$2:$C$999,2,FALSE))</f>
        <v>1440</v>
      </c>
      <c r="F140" s="31" t="str">
        <f>IF(D140="","",VLOOKUP(D140,TemplateCode!$A$2:$C$999,3,FALSE))</f>
        <v>Ngày thường</v>
      </c>
      <c r="G140" s="30" t="s">
        <v>31</v>
      </c>
      <c r="H140" s="31" t="str">
        <f>IF(G140="","",VLOOKUP(G140,TemplateCode!$E$2:$G$700,2,FALSE))</f>
        <v>14015595</v>
      </c>
      <c r="I140" s="31" t="str">
        <f>IF(G140="","",VLOOKUP(G140,TemplateCode!$E$2:$G$700,3,FALSE))</f>
        <v>Ca đêm</v>
      </c>
    </row>
    <row r="141" spans="1:9" ht="15.75">
      <c r="A141" s="34">
        <v>43180879</v>
      </c>
      <c r="B141" s="34" t="s">
        <v>87</v>
      </c>
      <c r="C141" s="29" t="s">
        <v>111</v>
      </c>
      <c r="D141" s="30" t="s">
        <v>17</v>
      </c>
      <c r="E141" s="31" t="str">
        <f>IF(D141="","",VLOOKUP(D141,TemplateCode!$A$2:$C$999,2,FALSE))</f>
        <v>1440</v>
      </c>
      <c r="F141" s="31" t="str">
        <f>IF(D141="","",VLOOKUP(D141,TemplateCode!$A$2:$C$999,3,FALSE))</f>
        <v>Ngày thường</v>
      </c>
      <c r="G141" s="30" t="s">
        <v>31</v>
      </c>
      <c r="H141" s="31" t="str">
        <f>IF(G141="","",VLOOKUP(G141,TemplateCode!$E$2:$G$700,2,FALSE))</f>
        <v>14015595</v>
      </c>
      <c r="I141" s="31" t="str">
        <f>IF(G141="","",VLOOKUP(G141,TemplateCode!$E$2:$G$700,3,FALSE))</f>
        <v>Ca đêm</v>
      </c>
    </row>
    <row r="142" spans="1:9" ht="15.75">
      <c r="A142" s="27">
        <v>43181074</v>
      </c>
      <c r="B142" s="34" t="s">
        <v>88</v>
      </c>
      <c r="C142" s="29" t="s">
        <v>111</v>
      </c>
      <c r="D142" s="30" t="s">
        <v>17</v>
      </c>
      <c r="E142" s="31" t="str">
        <f>IF(D142="","",VLOOKUP(D142,TemplateCode!$A$2:$C$999,2,FALSE))</f>
        <v>1440</v>
      </c>
      <c r="F142" s="31" t="str">
        <f>IF(D142="","",VLOOKUP(D142,TemplateCode!$A$2:$C$999,3,FALSE))</f>
        <v>Ngày thường</v>
      </c>
      <c r="G142" s="30" t="s">
        <v>31</v>
      </c>
      <c r="H142" s="31" t="str">
        <f>IF(G142="","",VLOOKUP(G142,TemplateCode!$E$2:$G$700,2,FALSE))</f>
        <v>14015595</v>
      </c>
      <c r="I142" s="31" t="str">
        <f>IF(G142="","",VLOOKUP(G142,TemplateCode!$E$2:$G$700,3,FALSE))</f>
        <v>Ca đêm</v>
      </c>
    </row>
    <row r="143" spans="1:9" ht="15.75">
      <c r="A143" s="35">
        <v>43180750</v>
      </c>
      <c r="B143" s="28" t="s">
        <v>89</v>
      </c>
      <c r="C143" s="29" t="s">
        <v>111</v>
      </c>
      <c r="D143" s="30" t="s">
        <v>17</v>
      </c>
      <c r="E143" s="31" t="str">
        <f>IF(D143="","",VLOOKUP(D143,TemplateCode!$A$2:$C$999,2,FALSE))</f>
        <v>1440</v>
      </c>
      <c r="F143" s="31" t="str">
        <f>IF(D143="","",VLOOKUP(D143,TemplateCode!$A$2:$C$999,3,FALSE))</f>
        <v>Ngày thường</v>
      </c>
      <c r="G143" s="30" t="s">
        <v>31</v>
      </c>
      <c r="H143" s="31" t="str">
        <f>IF(G143="","",VLOOKUP(G143,TemplateCode!$E$2:$G$700,2,FALSE))</f>
        <v>14015595</v>
      </c>
      <c r="I143" s="31" t="str">
        <f>IF(G143="","",VLOOKUP(G143,TemplateCode!$E$2:$G$700,3,FALSE))</f>
        <v>Ca đêm</v>
      </c>
    </row>
    <row r="144" spans="1:9" ht="15.75">
      <c r="A144" s="35">
        <v>43181362</v>
      </c>
      <c r="B144" s="28" t="s">
        <v>90</v>
      </c>
      <c r="C144" s="29" t="s">
        <v>111</v>
      </c>
      <c r="D144" s="30" t="s">
        <v>17</v>
      </c>
      <c r="E144" s="31" t="str">
        <f>IF(D144="","",VLOOKUP(D144,TemplateCode!$A$2:$C$999,2,FALSE))</f>
        <v>1440</v>
      </c>
      <c r="F144" s="31" t="str">
        <f>IF(D144="","",VLOOKUP(D144,TemplateCode!$A$2:$C$999,3,FALSE))</f>
        <v>Ngày thường</v>
      </c>
      <c r="G144" s="30" t="s">
        <v>31</v>
      </c>
      <c r="H144" s="31" t="str">
        <f>IF(G144="","",VLOOKUP(G144,TemplateCode!$E$2:$G$700,2,FALSE))</f>
        <v>14015595</v>
      </c>
      <c r="I144" s="31" t="str">
        <f>IF(G144="","",VLOOKUP(G144,TemplateCode!$E$2:$G$700,3,FALSE))</f>
        <v>Ca đêm</v>
      </c>
    </row>
    <row r="145" spans="1:9" ht="15.75">
      <c r="A145" s="35">
        <v>43181479</v>
      </c>
      <c r="B145" s="28" t="s">
        <v>91</v>
      </c>
      <c r="C145" s="29" t="s">
        <v>111</v>
      </c>
      <c r="D145" s="30" t="s">
        <v>17</v>
      </c>
      <c r="E145" s="31" t="str">
        <f>IF(D145="","",VLOOKUP(D145,TemplateCode!$A$2:$C$999,2,FALSE))</f>
        <v>1440</v>
      </c>
      <c r="F145" s="31" t="str">
        <f>IF(D145="","",VLOOKUP(D145,TemplateCode!$A$2:$C$999,3,FALSE))</f>
        <v>Ngày thường</v>
      </c>
      <c r="G145" s="30" t="s">
        <v>31</v>
      </c>
      <c r="H145" s="31" t="str">
        <f>IF(G145="","",VLOOKUP(G145,TemplateCode!$E$2:$G$700,2,FALSE))</f>
        <v>14015595</v>
      </c>
      <c r="I145" s="31" t="str">
        <f>IF(G145="","",VLOOKUP(G145,TemplateCode!$E$2:$G$700,3,FALSE))</f>
        <v>Ca đêm</v>
      </c>
    </row>
    <row r="146" spans="1:9" ht="15.75">
      <c r="A146" s="35">
        <v>43190068</v>
      </c>
      <c r="B146" s="28" t="s">
        <v>92</v>
      </c>
      <c r="C146" s="29" t="s">
        <v>111</v>
      </c>
      <c r="D146" s="30" t="s">
        <v>17</v>
      </c>
      <c r="E146" s="31" t="str">
        <f>IF(D146="","",VLOOKUP(D146,TemplateCode!$A$2:$C$999,2,FALSE))</f>
        <v>1440</v>
      </c>
      <c r="F146" s="31" t="str">
        <f>IF(D146="","",VLOOKUP(D146,TemplateCode!$A$2:$C$999,3,FALSE))</f>
        <v>Ngày thường</v>
      </c>
      <c r="G146" s="30" t="s">
        <v>31</v>
      </c>
      <c r="H146" s="31" t="str">
        <f>IF(G146="","",VLOOKUP(G146,TemplateCode!$E$2:$G$700,2,FALSE))</f>
        <v>14015595</v>
      </c>
      <c r="I146" s="31" t="str">
        <f>IF(G146="","",VLOOKUP(G146,TemplateCode!$E$2:$G$700,3,FALSE))</f>
        <v>Ca đêm</v>
      </c>
    </row>
    <row r="147" spans="1:9" ht="15.75">
      <c r="A147" s="35">
        <v>43190084</v>
      </c>
      <c r="B147" s="28" t="s">
        <v>93</v>
      </c>
      <c r="C147" s="29" t="s">
        <v>111</v>
      </c>
      <c r="D147" s="30" t="s">
        <v>17</v>
      </c>
      <c r="E147" s="31" t="str">
        <f>IF(D147="","",VLOOKUP(D147,TemplateCode!$A$2:$C$999,2,FALSE))</f>
        <v>1440</v>
      </c>
      <c r="F147" s="31" t="str">
        <f>IF(D147="","",VLOOKUP(D147,TemplateCode!$A$2:$C$999,3,FALSE))</f>
        <v>Ngày thường</v>
      </c>
      <c r="G147" s="30" t="s">
        <v>31</v>
      </c>
      <c r="H147" s="31" t="str">
        <f>IF(G147="","",VLOOKUP(G147,TemplateCode!$E$2:$G$700,2,FALSE))</f>
        <v>14015595</v>
      </c>
      <c r="I147" s="31" t="str">
        <f>IF(G147="","",VLOOKUP(G147,TemplateCode!$E$2:$G$700,3,FALSE))</f>
        <v>Ca đêm</v>
      </c>
    </row>
    <row r="148" spans="1:9" ht="15.75">
      <c r="A148" s="27">
        <v>43190108</v>
      </c>
      <c r="B148" s="28" t="s">
        <v>94</v>
      </c>
      <c r="C148" s="29" t="s">
        <v>111</v>
      </c>
      <c r="D148" s="30" t="s">
        <v>17</v>
      </c>
      <c r="E148" s="31" t="str">
        <f>IF(D148="","",VLOOKUP(D148,TemplateCode!$A$2:$C$999,2,FALSE))</f>
        <v>1440</v>
      </c>
      <c r="F148" s="31" t="str">
        <f>IF(D148="","",VLOOKUP(D148,TemplateCode!$A$2:$C$999,3,FALSE))</f>
        <v>Ngày thường</v>
      </c>
      <c r="G148" s="30" t="s">
        <v>31</v>
      </c>
      <c r="H148" s="31" t="str">
        <f>IF(G148="","",VLOOKUP(G148,TemplateCode!$E$2:$G$700,2,FALSE))</f>
        <v>14015595</v>
      </c>
      <c r="I148" s="31" t="str">
        <f>IF(G148="","",VLOOKUP(G148,TemplateCode!$E$2:$G$700,3,FALSE))</f>
        <v>Ca đêm</v>
      </c>
    </row>
    <row r="149" spans="1:9" ht="15.75">
      <c r="A149" s="34">
        <v>43190107</v>
      </c>
      <c r="B149" s="34" t="s">
        <v>95</v>
      </c>
      <c r="C149" s="29" t="s">
        <v>111</v>
      </c>
      <c r="D149" s="30" t="s">
        <v>17</v>
      </c>
      <c r="E149" s="31" t="str">
        <f>IF(D149="","",VLOOKUP(D149,TemplateCode!$A$2:$C$999,2,FALSE))</f>
        <v>1440</v>
      </c>
      <c r="F149" s="31" t="str">
        <f>IF(D149="","",VLOOKUP(D149,TemplateCode!$A$2:$C$999,3,FALSE))</f>
        <v>Ngày thường</v>
      </c>
      <c r="G149" s="30" t="s">
        <v>31</v>
      </c>
      <c r="H149" s="31" t="str">
        <f>IF(G149="","",VLOOKUP(G149,TemplateCode!$E$2:$G$700,2,FALSE))</f>
        <v>14015595</v>
      </c>
      <c r="I149" s="31" t="str">
        <f>IF(G149="","",VLOOKUP(G149,TemplateCode!$E$2:$G$700,3,FALSE))</f>
        <v>Ca đêm</v>
      </c>
    </row>
    <row r="150" spans="1:9" ht="15.75">
      <c r="A150" s="27">
        <v>43190129</v>
      </c>
      <c r="B150" s="28" t="s">
        <v>96</v>
      </c>
      <c r="C150" s="29" t="s">
        <v>111</v>
      </c>
      <c r="D150" s="30" t="s">
        <v>17</v>
      </c>
      <c r="E150" s="31" t="str">
        <f>IF(D150="","",VLOOKUP(D150,TemplateCode!$A$2:$C$999,2,FALSE))</f>
        <v>1440</v>
      </c>
      <c r="F150" s="31" t="str">
        <f>IF(D150="","",VLOOKUP(D150,TemplateCode!$A$2:$C$999,3,FALSE))</f>
        <v>Ngày thường</v>
      </c>
      <c r="G150" s="30" t="s">
        <v>31</v>
      </c>
      <c r="H150" s="31" t="str">
        <f>IF(G150="","",VLOOKUP(G150,TemplateCode!$E$2:$G$700,2,FALSE))</f>
        <v>14015595</v>
      </c>
      <c r="I150" s="31" t="str">
        <f>IF(G150="","",VLOOKUP(G150,TemplateCode!$E$2:$G$700,3,FALSE))</f>
        <v>Ca đêm</v>
      </c>
    </row>
    <row r="151" spans="1:9" ht="15.75">
      <c r="A151" s="34">
        <v>43190248</v>
      </c>
      <c r="B151" s="34" t="s">
        <v>97</v>
      </c>
      <c r="C151" s="29" t="s">
        <v>111</v>
      </c>
      <c r="D151" s="30" t="s">
        <v>17</v>
      </c>
      <c r="E151" s="31" t="str">
        <f>IF(D151="","",VLOOKUP(D151,TemplateCode!$A$2:$C$999,2,FALSE))</f>
        <v>1440</v>
      </c>
      <c r="F151" s="31" t="str">
        <f>IF(D151="","",VLOOKUP(D151,TemplateCode!$A$2:$C$999,3,FALSE))</f>
        <v>Ngày thường</v>
      </c>
      <c r="G151" s="30" t="s">
        <v>31</v>
      </c>
      <c r="H151" s="31" t="str">
        <f>IF(G151="","",VLOOKUP(G151,TemplateCode!$E$2:$G$700,2,FALSE))</f>
        <v>14015595</v>
      </c>
      <c r="I151" s="31" t="str">
        <f>IF(G151="","",VLOOKUP(G151,TemplateCode!$E$2:$G$700,3,FALSE))</f>
        <v>Ca đêm</v>
      </c>
    </row>
    <row r="152" spans="1:9" ht="15.75">
      <c r="A152" s="34">
        <v>43190251</v>
      </c>
      <c r="B152" s="34" t="s">
        <v>98</v>
      </c>
      <c r="C152" s="29" t="s">
        <v>111</v>
      </c>
      <c r="D152" s="30" t="s">
        <v>17</v>
      </c>
      <c r="E152" s="31" t="str">
        <f>IF(D152="","",VLOOKUP(D152,TemplateCode!$A$2:$C$999,2,FALSE))</f>
        <v>1440</v>
      </c>
      <c r="F152" s="31" t="str">
        <f>IF(D152="","",VLOOKUP(D152,TemplateCode!$A$2:$C$999,3,FALSE))</f>
        <v>Ngày thường</v>
      </c>
      <c r="G152" s="30" t="s">
        <v>31</v>
      </c>
      <c r="H152" s="31" t="str">
        <f>IF(G152="","",VLOOKUP(G152,TemplateCode!$E$2:$G$700,2,FALSE))</f>
        <v>14015595</v>
      </c>
      <c r="I152" s="31" t="str">
        <f>IF(G152="","",VLOOKUP(G152,TemplateCode!$E$2:$G$700,3,FALSE))</f>
        <v>Ca đêm</v>
      </c>
    </row>
    <row r="153" spans="1:9" ht="15.75">
      <c r="A153" s="34">
        <v>43190278</v>
      </c>
      <c r="B153" s="34" t="s">
        <v>99</v>
      </c>
      <c r="C153" s="29" t="s">
        <v>111</v>
      </c>
      <c r="D153" s="30" t="s">
        <v>17</v>
      </c>
      <c r="E153" s="31" t="str">
        <f>IF(D153="","",VLOOKUP(D153,TemplateCode!$A$2:$C$999,2,FALSE))</f>
        <v>1440</v>
      </c>
      <c r="F153" s="31" t="str">
        <f>IF(D153="","",VLOOKUP(D153,TemplateCode!$A$2:$C$999,3,FALSE))</f>
        <v>Ngày thường</v>
      </c>
      <c r="G153" s="30" t="s">
        <v>31</v>
      </c>
      <c r="H153" s="31" t="str">
        <f>IF(G153="","",VLOOKUP(G153,TemplateCode!$E$2:$G$700,2,FALSE))</f>
        <v>14015595</v>
      </c>
      <c r="I153" s="31" t="str">
        <f>IF(G153="","",VLOOKUP(G153,TemplateCode!$E$2:$G$700,3,FALSE))</f>
        <v>Ca đêm</v>
      </c>
    </row>
    <row r="154" spans="1:9" ht="15.75">
      <c r="A154" s="36">
        <v>43190385</v>
      </c>
      <c r="B154" s="33" t="s">
        <v>100</v>
      </c>
      <c r="C154" s="29" t="s">
        <v>111</v>
      </c>
      <c r="D154" s="30" t="s">
        <v>17</v>
      </c>
      <c r="E154" s="31" t="str">
        <f>IF(D154="","",VLOOKUP(D154,TemplateCode!$A$2:$C$999,2,FALSE))</f>
        <v>1440</v>
      </c>
      <c r="F154" s="31" t="str">
        <f>IF(D154="","",VLOOKUP(D154,TemplateCode!$A$2:$C$999,3,FALSE))</f>
        <v>Ngày thường</v>
      </c>
      <c r="G154" s="30" t="s">
        <v>31</v>
      </c>
      <c r="H154" s="31" t="str">
        <f>IF(G154="","",VLOOKUP(G154,TemplateCode!$E$2:$G$700,2,FALSE))</f>
        <v>14015595</v>
      </c>
      <c r="I154" s="31" t="str">
        <f>IF(G154="","",VLOOKUP(G154,TemplateCode!$E$2:$G$700,3,FALSE))</f>
        <v>Ca đêm</v>
      </c>
    </row>
    <row r="155" spans="1:9" ht="15.75">
      <c r="A155" s="36">
        <v>43190389</v>
      </c>
      <c r="B155" s="33" t="s">
        <v>101</v>
      </c>
      <c r="C155" s="29" t="s">
        <v>111</v>
      </c>
      <c r="D155" s="30" t="s">
        <v>17</v>
      </c>
      <c r="E155" s="31" t="str">
        <f>IF(D155="","",VLOOKUP(D155,TemplateCode!$A$2:$C$999,2,FALSE))</f>
        <v>1440</v>
      </c>
      <c r="F155" s="31" t="str">
        <f>IF(D155="","",VLOOKUP(D155,TemplateCode!$A$2:$C$999,3,FALSE))</f>
        <v>Ngày thường</v>
      </c>
      <c r="G155" s="30" t="s">
        <v>31</v>
      </c>
      <c r="H155" s="31" t="str">
        <f>IF(G155="","",VLOOKUP(G155,TemplateCode!$E$2:$G$700,2,FALSE))</f>
        <v>14015595</v>
      </c>
      <c r="I155" s="31" t="str">
        <f>IF(G155="","",VLOOKUP(G155,TemplateCode!$E$2:$G$700,3,FALSE))</f>
        <v>Ca đêm</v>
      </c>
    </row>
    <row r="156" spans="1:9" ht="15.75">
      <c r="A156" s="35">
        <v>43181469</v>
      </c>
      <c r="B156" s="28" t="s">
        <v>102</v>
      </c>
      <c r="C156" s="29" t="s">
        <v>111</v>
      </c>
      <c r="D156" s="30" t="s">
        <v>17</v>
      </c>
      <c r="E156" s="31" t="str">
        <f>IF(D156="","",VLOOKUP(D156,TemplateCode!$A$2:$C$999,2,FALSE))</f>
        <v>1440</v>
      </c>
      <c r="F156" s="31" t="str">
        <f>IF(D156="","",VLOOKUP(D156,TemplateCode!$A$2:$C$999,3,FALSE))</f>
        <v>Ngày thường</v>
      </c>
      <c r="G156" s="30" t="s">
        <v>31</v>
      </c>
      <c r="H156" s="31" t="str">
        <f>IF(G156="","",VLOOKUP(G156,TemplateCode!$E$2:$G$700,2,FALSE))</f>
        <v>14015595</v>
      </c>
      <c r="I156" s="31" t="str">
        <f>IF(G156="","",VLOOKUP(G156,TemplateCode!$E$2:$G$700,3,FALSE))</f>
        <v>Ca đêm</v>
      </c>
    </row>
    <row r="157" spans="1:9" ht="15.75">
      <c r="A157" s="36">
        <v>43190403</v>
      </c>
      <c r="B157" s="33" t="s">
        <v>103</v>
      </c>
      <c r="C157" s="29" t="s">
        <v>111</v>
      </c>
      <c r="D157" s="30" t="s">
        <v>17</v>
      </c>
      <c r="E157" s="31" t="str">
        <f>IF(D157="","",VLOOKUP(D157,TemplateCode!$A$2:$C$999,2,FALSE))</f>
        <v>1440</v>
      </c>
      <c r="F157" s="31" t="str">
        <f>IF(D157="","",VLOOKUP(D157,TemplateCode!$A$2:$C$999,3,FALSE))</f>
        <v>Ngày thường</v>
      </c>
      <c r="G157" s="30" t="s">
        <v>31</v>
      </c>
      <c r="H157" s="31" t="str">
        <f>IF(G157="","",VLOOKUP(G157,TemplateCode!$E$2:$G$700,2,FALSE))</f>
        <v>14015595</v>
      </c>
      <c r="I157" s="31" t="str">
        <f>IF(G157="","",VLOOKUP(G157,TemplateCode!$E$2:$G$700,3,FALSE))</f>
        <v>Ca đêm</v>
      </c>
    </row>
    <row r="158" spans="1:9" ht="15.75">
      <c r="A158" s="34">
        <v>43190018</v>
      </c>
      <c r="B158" s="34" t="s">
        <v>104</v>
      </c>
      <c r="C158" s="29" t="s">
        <v>111</v>
      </c>
      <c r="D158" s="30" t="s">
        <v>17</v>
      </c>
      <c r="E158" s="31" t="str">
        <f>IF(D158="","",VLOOKUP(D158,TemplateCode!$A$2:$C$999,2,FALSE))</f>
        <v>1440</v>
      </c>
      <c r="F158" s="31" t="str">
        <f>IF(D158="","",VLOOKUP(D158,TemplateCode!$A$2:$C$999,3,FALSE))</f>
        <v>Ngày thường</v>
      </c>
      <c r="G158" s="30" t="s">
        <v>31</v>
      </c>
      <c r="H158" s="31" t="str">
        <f>IF(G158="","",VLOOKUP(G158,TemplateCode!$E$2:$G$700,2,FALSE))</f>
        <v>14015595</v>
      </c>
      <c r="I158" s="31" t="str">
        <f>IF(G158="","",VLOOKUP(G158,TemplateCode!$E$2:$G$700,3,FALSE))</f>
        <v>Ca đêm</v>
      </c>
    </row>
    <row r="159" spans="1:9" ht="15.75">
      <c r="A159" s="36">
        <v>43190460</v>
      </c>
      <c r="B159" s="33" t="s">
        <v>105</v>
      </c>
      <c r="C159" s="29" t="s">
        <v>111</v>
      </c>
      <c r="D159" s="30" t="s">
        <v>17</v>
      </c>
      <c r="E159" s="31" t="str">
        <f>IF(D159="","",VLOOKUP(D159,TemplateCode!$A$2:$C$999,2,FALSE))</f>
        <v>1440</v>
      </c>
      <c r="F159" s="31" t="str">
        <f>IF(D159="","",VLOOKUP(D159,TemplateCode!$A$2:$C$999,3,FALSE))</f>
        <v>Ngày thường</v>
      </c>
      <c r="G159" s="30" t="s">
        <v>31</v>
      </c>
      <c r="H159" s="31" t="str">
        <f>IF(G159="","",VLOOKUP(G159,TemplateCode!$E$2:$G$700,2,FALSE))</f>
        <v>14015595</v>
      </c>
      <c r="I159" s="31" t="str">
        <f>IF(G159="","",VLOOKUP(G159,TemplateCode!$E$2:$G$700,3,FALSE))</f>
        <v>Ca đêm</v>
      </c>
    </row>
    <row r="160" spans="1:9" ht="15.75">
      <c r="A160" s="27">
        <v>43181073</v>
      </c>
      <c r="B160" s="34" t="s">
        <v>106</v>
      </c>
      <c r="C160" s="29" t="s">
        <v>111</v>
      </c>
      <c r="D160" s="30" t="s">
        <v>17</v>
      </c>
      <c r="E160" s="31" t="str">
        <f>IF(D160="","",VLOOKUP(D160,TemplateCode!$A$2:$C$999,2,FALSE))</f>
        <v>1440</v>
      </c>
      <c r="F160" s="31" t="str">
        <f>IF(D160="","",VLOOKUP(D160,TemplateCode!$A$2:$C$999,3,FALSE))</f>
        <v>Ngày thường</v>
      </c>
      <c r="G160" s="30" t="s">
        <v>31</v>
      </c>
      <c r="H160" s="31" t="str">
        <f>IF(G160="","",VLOOKUP(G160,TemplateCode!$E$2:$G$700,2,FALSE))</f>
        <v>14015595</v>
      </c>
      <c r="I160" s="31" t="str">
        <f>IF(G160="","",VLOOKUP(G160,TemplateCode!$E$2:$G$700,3,FALSE))</f>
        <v>Ca đêm</v>
      </c>
    </row>
    <row r="161" spans="1:9" ht="15.75">
      <c r="A161" s="34">
        <v>43190445</v>
      </c>
      <c r="B161" s="34" t="s">
        <v>107</v>
      </c>
      <c r="C161" s="29" t="s">
        <v>111</v>
      </c>
      <c r="D161" s="30" t="s">
        <v>17</v>
      </c>
      <c r="E161" s="31" t="str">
        <f>IF(D161="","",VLOOKUP(D161,TemplateCode!$A$2:$C$999,2,FALSE))</f>
        <v>1440</v>
      </c>
      <c r="F161" s="31" t="str">
        <f>IF(D161="","",VLOOKUP(D161,TemplateCode!$A$2:$C$999,3,FALSE))</f>
        <v>Ngày thường</v>
      </c>
      <c r="G161" s="30" t="s">
        <v>31</v>
      </c>
      <c r="H161" s="31" t="str">
        <f>IF(G161="","",VLOOKUP(G161,TemplateCode!$E$2:$G$700,2,FALSE))</f>
        <v>14015595</v>
      </c>
      <c r="I161" s="31" t="str">
        <f>IF(G161="","",VLOOKUP(G161,TemplateCode!$E$2:$G$700,3,FALSE))</f>
        <v>Ca đêm</v>
      </c>
    </row>
    <row r="162" spans="1:9" ht="15.75">
      <c r="A162" s="34">
        <v>43190243</v>
      </c>
      <c r="B162" s="34" t="s">
        <v>108</v>
      </c>
      <c r="C162" s="29" t="s">
        <v>111</v>
      </c>
      <c r="D162" s="30" t="s">
        <v>17</v>
      </c>
      <c r="E162" s="31" t="str">
        <f>IF(D162="","",VLOOKUP(D162,TemplateCode!$A$2:$C$999,2,FALSE))</f>
        <v>1440</v>
      </c>
      <c r="F162" s="31" t="str">
        <f>IF(D162="","",VLOOKUP(D162,TemplateCode!$A$2:$C$999,3,FALSE))</f>
        <v>Ngày thường</v>
      </c>
      <c r="G162" s="30" t="s">
        <v>31</v>
      </c>
      <c r="H162" s="31" t="str">
        <f>IF(G162="","",VLOOKUP(G162,TemplateCode!$E$2:$G$700,2,FALSE))</f>
        <v>14015595</v>
      </c>
      <c r="I162" s="31" t="str">
        <f>IF(G162="","",VLOOKUP(G162,TemplateCode!$E$2:$G$700,3,FALSE))</f>
        <v>Ca đêm</v>
      </c>
    </row>
    <row r="163" spans="1:9" ht="15.75">
      <c r="A163" s="37">
        <v>43190805</v>
      </c>
      <c r="B163" s="37" t="s">
        <v>109</v>
      </c>
      <c r="C163" s="29" t="s">
        <v>111</v>
      </c>
      <c r="D163" s="30" t="s">
        <v>17</v>
      </c>
      <c r="E163" s="31" t="str">
        <f>IF(D163="","",VLOOKUP(D163,TemplateCode!$A$2:$C$999,2,FALSE))</f>
        <v>1440</v>
      </c>
      <c r="F163" s="31" t="str">
        <f>IF(D163="","",VLOOKUP(D163,TemplateCode!$A$2:$C$999,3,FALSE))</f>
        <v>Ngày thường</v>
      </c>
      <c r="G163" s="30" t="s">
        <v>31</v>
      </c>
      <c r="H163" s="31" t="str">
        <f>IF(G163="","",VLOOKUP(G163,TemplateCode!$E$2:$G$700,2,FALSE))</f>
        <v>14015595</v>
      </c>
      <c r="I163" s="31" t="str">
        <f>IF(G163="","",VLOOKUP(G163,TemplateCode!$E$2:$G$700,3,FALSE))</f>
        <v>Ca đêm</v>
      </c>
    </row>
    <row r="164" spans="1:9" ht="15.75">
      <c r="A164" s="14">
        <v>43181429</v>
      </c>
      <c r="B164" s="14" t="s">
        <v>55</v>
      </c>
      <c r="C164" s="12" t="s">
        <v>112</v>
      </c>
      <c r="D164" s="11" t="s">
        <v>17</v>
      </c>
      <c r="E164" s="10" t="str">
        <f>IF(D164="","",VLOOKUP(D164,TemplateCode!$A$2:$C$999,2,FALSE))</f>
        <v>1440</v>
      </c>
      <c r="F164" s="10" t="str">
        <f>IF(D164="","",VLOOKUP(D164,TemplateCode!$A$2:$C$999,3,FALSE))</f>
        <v>Ngày thường</v>
      </c>
      <c r="G164" s="11" t="s">
        <v>52</v>
      </c>
      <c r="H164" s="10" t="str">
        <f>IF(G164="","",VLOOKUP(G164,TemplateCode!$E$2:$G$700,2,FALSE))</f>
        <v>90000456</v>
      </c>
      <c r="I164" s="10" t="str">
        <f>IF(G164="","",VLOOKUP(G164,TemplateCode!$E$2:$G$700,3,FALSE))</f>
        <v>Ca ngày</v>
      </c>
    </row>
    <row r="165" spans="1:9" ht="15.75">
      <c r="A165" s="15">
        <v>43181308</v>
      </c>
      <c r="B165" s="15" t="s">
        <v>56</v>
      </c>
      <c r="C165" s="12" t="s">
        <v>112</v>
      </c>
      <c r="D165" s="11" t="s">
        <v>17</v>
      </c>
      <c r="E165" s="10" t="str">
        <f>IF(D165="","",VLOOKUP(D165,TemplateCode!$A$2:$C$999,2,FALSE))</f>
        <v>1440</v>
      </c>
      <c r="F165" s="10" t="str">
        <f>IF(D165="","",VLOOKUP(D165,TemplateCode!$A$2:$C$999,3,FALSE))</f>
        <v>Ngày thường</v>
      </c>
      <c r="G165" s="11" t="s">
        <v>52</v>
      </c>
      <c r="H165" s="10" t="str">
        <f>IF(G165="","",VLOOKUP(G165,TemplateCode!$E$2:$G$700,2,FALSE))</f>
        <v>90000456</v>
      </c>
      <c r="I165" s="10" t="str">
        <f>IF(G165="","",VLOOKUP(G165,TemplateCode!$E$2:$G$700,3,FALSE))</f>
        <v>Ca ngày</v>
      </c>
    </row>
    <row r="166" spans="1:9" ht="15.75">
      <c r="A166" s="16">
        <v>43181355</v>
      </c>
      <c r="B166" s="17" t="s">
        <v>57</v>
      </c>
      <c r="C166" s="12" t="s">
        <v>112</v>
      </c>
      <c r="D166" s="11" t="s">
        <v>17</v>
      </c>
      <c r="E166" s="10" t="str">
        <f>IF(D166="","",VLOOKUP(D166,TemplateCode!$A$2:$C$999,2,FALSE))</f>
        <v>1440</v>
      </c>
      <c r="F166" s="10" t="str">
        <f>IF(D166="","",VLOOKUP(D166,TemplateCode!$A$2:$C$999,3,FALSE))</f>
        <v>Ngày thường</v>
      </c>
      <c r="G166" s="11" t="s">
        <v>52</v>
      </c>
      <c r="H166" s="10" t="str">
        <f>IF(G166="","",VLOOKUP(G166,TemplateCode!$E$2:$G$700,2,FALSE))</f>
        <v>90000456</v>
      </c>
      <c r="I166" s="10" t="str">
        <f>IF(G166="","",VLOOKUP(G166,TemplateCode!$E$2:$G$700,3,FALSE))</f>
        <v>Ca ngày</v>
      </c>
    </row>
    <row r="167" spans="1:9" ht="15.75">
      <c r="A167" s="15">
        <v>43181462</v>
      </c>
      <c r="B167" s="17" t="s">
        <v>58</v>
      </c>
      <c r="C167" s="12" t="s">
        <v>112</v>
      </c>
      <c r="D167" s="11" t="s">
        <v>17</v>
      </c>
      <c r="E167" s="10" t="str">
        <f>IF(D167="","",VLOOKUP(D167,TemplateCode!$A$2:$C$999,2,FALSE))</f>
        <v>1440</v>
      </c>
      <c r="F167" s="10" t="str">
        <f>IF(D167="","",VLOOKUP(D167,TemplateCode!$A$2:$C$999,3,FALSE))</f>
        <v>Ngày thường</v>
      </c>
      <c r="G167" s="11" t="s">
        <v>52</v>
      </c>
      <c r="H167" s="10" t="str">
        <f>IF(G167="","",VLOOKUP(G167,TemplateCode!$E$2:$G$700,2,FALSE))</f>
        <v>90000456</v>
      </c>
      <c r="I167" s="10" t="str">
        <f>IF(G167="","",VLOOKUP(G167,TemplateCode!$E$2:$G$700,3,FALSE))</f>
        <v>Ca ngày</v>
      </c>
    </row>
    <row r="168" spans="1:9" ht="15.75">
      <c r="A168" s="18">
        <v>43181463</v>
      </c>
      <c r="B168" s="17" t="s">
        <v>59</v>
      </c>
      <c r="C168" s="12" t="s">
        <v>112</v>
      </c>
      <c r="D168" s="11" t="s">
        <v>17</v>
      </c>
      <c r="E168" s="10" t="str">
        <f>IF(D168="","",VLOOKUP(D168,TemplateCode!$A$2:$C$999,2,FALSE))</f>
        <v>1440</v>
      </c>
      <c r="F168" s="10" t="str">
        <f>IF(D168="","",VLOOKUP(D168,TemplateCode!$A$2:$C$999,3,FALSE))</f>
        <v>Ngày thường</v>
      </c>
      <c r="G168" s="11" t="s">
        <v>52</v>
      </c>
      <c r="H168" s="10" t="str">
        <f>IF(G168="","",VLOOKUP(G168,TemplateCode!$E$2:$G$700,2,FALSE))</f>
        <v>90000456</v>
      </c>
      <c r="I168" s="10" t="str">
        <f>IF(G168="","",VLOOKUP(G168,TemplateCode!$E$2:$G$700,3,FALSE))</f>
        <v>Ca ngày</v>
      </c>
    </row>
    <row r="169" spans="1:9" ht="15.75">
      <c r="A169" s="15">
        <v>43181487</v>
      </c>
      <c r="B169" s="15" t="s">
        <v>60</v>
      </c>
      <c r="C169" s="12" t="s">
        <v>112</v>
      </c>
      <c r="D169" s="11" t="s">
        <v>17</v>
      </c>
      <c r="E169" s="10" t="str">
        <f>IF(D169="","",VLOOKUP(D169,TemplateCode!$A$2:$C$999,2,FALSE))</f>
        <v>1440</v>
      </c>
      <c r="F169" s="10" t="str">
        <f>IF(D169="","",VLOOKUP(D169,TemplateCode!$A$2:$C$999,3,FALSE))</f>
        <v>Ngày thường</v>
      </c>
      <c r="G169" s="11" t="s">
        <v>52</v>
      </c>
      <c r="H169" s="10" t="str">
        <f>IF(G169="","",VLOOKUP(G169,TemplateCode!$E$2:$G$700,2,FALSE))</f>
        <v>90000456</v>
      </c>
      <c r="I169" s="10" t="str">
        <f>IF(G169="","",VLOOKUP(G169,TemplateCode!$E$2:$G$700,3,FALSE))</f>
        <v>Ca ngày</v>
      </c>
    </row>
    <row r="170" spans="1:9" ht="15.75">
      <c r="A170" s="15">
        <v>43181490</v>
      </c>
      <c r="B170" s="15" t="s">
        <v>61</v>
      </c>
      <c r="C170" s="12" t="s">
        <v>112</v>
      </c>
      <c r="D170" s="11" t="s">
        <v>17</v>
      </c>
      <c r="E170" s="10" t="str">
        <f>IF(D170="","",VLOOKUP(D170,TemplateCode!$A$2:$C$999,2,FALSE))</f>
        <v>1440</v>
      </c>
      <c r="F170" s="10" t="str">
        <f>IF(D170="","",VLOOKUP(D170,TemplateCode!$A$2:$C$999,3,FALSE))</f>
        <v>Ngày thường</v>
      </c>
      <c r="G170" s="11" t="s">
        <v>52</v>
      </c>
      <c r="H170" s="10" t="str">
        <f>IF(G170="","",VLOOKUP(G170,TemplateCode!$E$2:$G$700,2,FALSE))</f>
        <v>90000456</v>
      </c>
      <c r="I170" s="10" t="str">
        <f>IF(G170="","",VLOOKUP(G170,TemplateCode!$E$2:$G$700,3,FALSE))</f>
        <v>Ca ngày</v>
      </c>
    </row>
    <row r="171" spans="1:9" ht="15.75">
      <c r="A171" s="15">
        <v>43190015</v>
      </c>
      <c r="B171" s="15" t="s">
        <v>62</v>
      </c>
      <c r="C171" s="12" t="s">
        <v>112</v>
      </c>
      <c r="D171" s="11" t="s">
        <v>17</v>
      </c>
      <c r="E171" s="10" t="str">
        <f>IF(D171="","",VLOOKUP(D171,TemplateCode!$A$2:$C$999,2,FALSE))</f>
        <v>1440</v>
      </c>
      <c r="F171" s="10" t="str">
        <f>IF(D171="","",VLOOKUP(D171,TemplateCode!$A$2:$C$999,3,FALSE))</f>
        <v>Ngày thường</v>
      </c>
      <c r="G171" s="11" t="s">
        <v>52</v>
      </c>
      <c r="H171" s="10" t="str">
        <f>IF(G171="","",VLOOKUP(G171,TemplateCode!$E$2:$G$700,2,FALSE))</f>
        <v>90000456</v>
      </c>
      <c r="I171" s="10" t="str">
        <f>IF(G171="","",VLOOKUP(G171,TemplateCode!$E$2:$G$700,3,FALSE))</f>
        <v>Ca ngày</v>
      </c>
    </row>
    <row r="172" spans="1:9" ht="15.75">
      <c r="A172" s="15">
        <v>43190023</v>
      </c>
      <c r="B172" s="15" t="s">
        <v>63</v>
      </c>
      <c r="C172" s="12" t="s">
        <v>112</v>
      </c>
      <c r="D172" s="11" t="s">
        <v>17</v>
      </c>
      <c r="E172" s="10" t="str">
        <f>IF(D172="","",VLOOKUP(D172,TemplateCode!$A$2:$C$999,2,FALSE))</f>
        <v>1440</v>
      </c>
      <c r="F172" s="10" t="str">
        <f>IF(D172="","",VLOOKUP(D172,TemplateCode!$A$2:$C$999,3,FALSE))</f>
        <v>Ngày thường</v>
      </c>
      <c r="G172" s="11" t="s">
        <v>52</v>
      </c>
      <c r="H172" s="10" t="str">
        <f>IF(G172="","",VLOOKUP(G172,TemplateCode!$E$2:$G$700,2,FALSE))</f>
        <v>90000456</v>
      </c>
      <c r="I172" s="10" t="str">
        <f>IF(G172="","",VLOOKUP(G172,TemplateCode!$E$2:$G$700,3,FALSE))</f>
        <v>Ca ngày</v>
      </c>
    </row>
    <row r="173" spans="1:9" ht="15.75">
      <c r="A173" s="15">
        <v>43190030</v>
      </c>
      <c r="B173" s="15" t="s">
        <v>64</v>
      </c>
      <c r="C173" s="12" t="s">
        <v>112</v>
      </c>
      <c r="D173" s="11" t="s">
        <v>17</v>
      </c>
      <c r="E173" s="10" t="str">
        <f>IF(D173="","",VLOOKUP(D173,TemplateCode!$A$2:$C$999,2,FALSE))</f>
        <v>1440</v>
      </c>
      <c r="F173" s="10" t="str">
        <f>IF(D173="","",VLOOKUP(D173,TemplateCode!$A$2:$C$999,3,FALSE))</f>
        <v>Ngày thường</v>
      </c>
      <c r="G173" s="11" t="s">
        <v>52</v>
      </c>
      <c r="H173" s="10" t="str">
        <f>IF(G173="","",VLOOKUP(G173,TemplateCode!$E$2:$G$700,2,FALSE))</f>
        <v>90000456</v>
      </c>
      <c r="I173" s="10" t="str">
        <f>IF(G173="","",VLOOKUP(G173,TemplateCode!$E$2:$G$700,3,FALSE))</f>
        <v>Ca ngày</v>
      </c>
    </row>
    <row r="174" spans="1:9" ht="15.75">
      <c r="A174" s="15">
        <v>43190041</v>
      </c>
      <c r="B174" s="15" t="s">
        <v>65</v>
      </c>
      <c r="C174" s="12" t="s">
        <v>112</v>
      </c>
      <c r="D174" s="11" t="s">
        <v>17</v>
      </c>
      <c r="E174" s="10" t="str">
        <f>IF(D174="","",VLOOKUP(D174,TemplateCode!$A$2:$C$999,2,FALSE))</f>
        <v>1440</v>
      </c>
      <c r="F174" s="10" t="str">
        <f>IF(D174="","",VLOOKUP(D174,TemplateCode!$A$2:$C$999,3,FALSE))</f>
        <v>Ngày thường</v>
      </c>
      <c r="G174" s="11" t="s">
        <v>52</v>
      </c>
      <c r="H174" s="10" t="str">
        <f>IF(G174="","",VLOOKUP(G174,TemplateCode!$E$2:$G$700,2,FALSE))</f>
        <v>90000456</v>
      </c>
      <c r="I174" s="10" t="str">
        <f>IF(G174="","",VLOOKUP(G174,TemplateCode!$E$2:$G$700,3,FALSE))</f>
        <v>Ca ngày</v>
      </c>
    </row>
    <row r="175" spans="1:9" ht="15.75">
      <c r="A175" s="16">
        <v>43190065</v>
      </c>
      <c r="B175" s="15" t="s">
        <v>66</v>
      </c>
      <c r="C175" s="12" t="s">
        <v>112</v>
      </c>
      <c r="D175" s="11" t="s">
        <v>17</v>
      </c>
      <c r="E175" s="10" t="str">
        <f>IF(D175="","",VLOOKUP(D175,TemplateCode!$A$2:$C$999,2,FALSE))</f>
        <v>1440</v>
      </c>
      <c r="F175" s="10" t="str">
        <f>IF(D175="","",VLOOKUP(D175,TemplateCode!$A$2:$C$999,3,FALSE))</f>
        <v>Ngày thường</v>
      </c>
      <c r="G175" s="11" t="s">
        <v>52</v>
      </c>
      <c r="H175" s="10" t="str">
        <f>IF(G175="","",VLOOKUP(G175,TemplateCode!$E$2:$G$700,2,FALSE))</f>
        <v>90000456</v>
      </c>
      <c r="I175" s="10" t="str">
        <f>IF(G175="","",VLOOKUP(G175,TemplateCode!$E$2:$G$700,3,FALSE))</f>
        <v>Ca ngày</v>
      </c>
    </row>
    <row r="176" spans="1:9" ht="15.75">
      <c r="A176" s="16">
        <v>43190105</v>
      </c>
      <c r="B176" s="15" t="s">
        <v>67</v>
      </c>
      <c r="C176" s="12" t="s">
        <v>112</v>
      </c>
      <c r="D176" s="11" t="s">
        <v>17</v>
      </c>
      <c r="E176" s="10" t="str">
        <f>IF(D176="","",VLOOKUP(D176,TemplateCode!$A$2:$C$999,2,FALSE))</f>
        <v>1440</v>
      </c>
      <c r="F176" s="10" t="str">
        <f>IF(D176="","",VLOOKUP(D176,TemplateCode!$A$2:$C$999,3,FALSE))</f>
        <v>Ngày thường</v>
      </c>
      <c r="G176" s="11" t="s">
        <v>52</v>
      </c>
      <c r="H176" s="10" t="str">
        <f>IF(G176="","",VLOOKUP(G176,TemplateCode!$E$2:$G$700,2,FALSE))</f>
        <v>90000456</v>
      </c>
      <c r="I176" s="10" t="str">
        <f>IF(G176="","",VLOOKUP(G176,TemplateCode!$E$2:$G$700,3,FALSE))</f>
        <v>Ca ngày</v>
      </c>
    </row>
    <row r="177" spans="1:9" ht="15.75">
      <c r="A177" s="16">
        <v>43190109</v>
      </c>
      <c r="B177" s="17" t="s">
        <v>68</v>
      </c>
      <c r="C177" s="12" t="s">
        <v>112</v>
      </c>
      <c r="D177" s="11" t="s">
        <v>17</v>
      </c>
      <c r="E177" s="10" t="str">
        <f>IF(D177="","",VLOOKUP(D177,TemplateCode!$A$2:$C$999,2,FALSE))</f>
        <v>1440</v>
      </c>
      <c r="F177" s="10" t="str">
        <f>IF(D177="","",VLOOKUP(D177,TemplateCode!$A$2:$C$999,3,FALSE))</f>
        <v>Ngày thường</v>
      </c>
      <c r="G177" s="11" t="s">
        <v>52</v>
      </c>
      <c r="H177" s="10" t="str">
        <f>IF(G177="","",VLOOKUP(G177,TemplateCode!$E$2:$G$700,2,FALSE))</f>
        <v>90000456</v>
      </c>
      <c r="I177" s="10" t="str">
        <f>IF(G177="","",VLOOKUP(G177,TemplateCode!$E$2:$G$700,3,FALSE))</f>
        <v>Ca ngày</v>
      </c>
    </row>
    <row r="178" spans="1:9" ht="15.75">
      <c r="A178" s="18">
        <v>43190124</v>
      </c>
      <c r="B178" s="17" t="s">
        <v>69</v>
      </c>
      <c r="C178" s="12" t="s">
        <v>112</v>
      </c>
      <c r="D178" s="11" t="s">
        <v>17</v>
      </c>
      <c r="E178" s="10" t="str">
        <f>IF(D178="","",VLOOKUP(D178,TemplateCode!$A$2:$C$999,2,FALSE))</f>
        <v>1440</v>
      </c>
      <c r="F178" s="10" t="str">
        <f>IF(D178="","",VLOOKUP(D178,TemplateCode!$A$2:$C$999,3,FALSE))</f>
        <v>Ngày thường</v>
      </c>
      <c r="G178" s="11" t="s">
        <v>52</v>
      </c>
      <c r="H178" s="10" t="str">
        <f>IF(G178="","",VLOOKUP(G178,TemplateCode!$E$2:$G$700,2,FALSE))</f>
        <v>90000456</v>
      </c>
      <c r="I178" s="10" t="str">
        <f>IF(G178="","",VLOOKUP(G178,TemplateCode!$E$2:$G$700,3,FALSE))</f>
        <v>Ca ngày</v>
      </c>
    </row>
    <row r="179" spans="1:9" ht="15.75">
      <c r="A179" s="15">
        <v>43190125</v>
      </c>
      <c r="B179" s="15" t="s">
        <v>70</v>
      </c>
      <c r="C179" s="12" t="s">
        <v>112</v>
      </c>
      <c r="D179" s="11" t="s">
        <v>17</v>
      </c>
      <c r="E179" s="10" t="str">
        <f>IF(D179="","",VLOOKUP(D179,TemplateCode!$A$2:$C$999,2,FALSE))</f>
        <v>1440</v>
      </c>
      <c r="F179" s="10" t="str">
        <f>IF(D179="","",VLOOKUP(D179,TemplateCode!$A$2:$C$999,3,FALSE))</f>
        <v>Ngày thường</v>
      </c>
      <c r="G179" s="11" t="s">
        <v>52</v>
      </c>
      <c r="H179" s="10" t="str">
        <f>IF(G179="","",VLOOKUP(G179,TemplateCode!$E$2:$G$700,2,FALSE))</f>
        <v>90000456</v>
      </c>
      <c r="I179" s="10" t="str">
        <f>IF(G179="","",VLOOKUP(G179,TemplateCode!$E$2:$G$700,3,FALSE))</f>
        <v>Ca ngày</v>
      </c>
    </row>
    <row r="180" spans="1:9" ht="15.75">
      <c r="A180" s="15">
        <v>43190126</v>
      </c>
      <c r="B180" s="15" t="s">
        <v>71</v>
      </c>
      <c r="C180" s="12" t="s">
        <v>112</v>
      </c>
      <c r="D180" s="11" t="s">
        <v>17</v>
      </c>
      <c r="E180" s="10" t="str">
        <f>IF(D180="","",VLOOKUP(D180,TemplateCode!$A$2:$C$999,2,FALSE))</f>
        <v>1440</v>
      </c>
      <c r="F180" s="10" t="str">
        <f>IF(D180="","",VLOOKUP(D180,TemplateCode!$A$2:$C$999,3,FALSE))</f>
        <v>Ngày thường</v>
      </c>
      <c r="G180" s="11" t="s">
        <v>52</v>
      </c>
      <c r="H180" s="10" t="str">
        <f>IF(G180="","",VLOOKUP(G180,TemplateCode!$E$2:$G$700,2,FALSE))</f>
        <v>90000456</v>
      </c>
      <c r="I180" s="10" t="str">
        <f>IF(G180="","",VLOOKUP(G180,TemplateCode!$E$2:$G$700,3,FALSE))</f>
        <v>Ca ngày</v>
      </c>
    </row>
    <row r="181" spans="1:9" ht="15.75">
      <c r="A181" s="15">
        <v>43190169</v>
      </c>
      <c r="B181" s="15" t="s">
        <v>72</v>
      </c>
      <c r="C181" s="12" t="s">
        <v>112</v>
      </c>
      <c r="D181" s="11" t="s">
        <v>17</v>
      </c>
      <c r="E181" s="10" t="str">
        <f>IF(D181="","",VLOOKUP(D181,TemplateCode!$A$2:$C$999,2,FALSE))</f>
        <v>1440</v>
      </c>
      <c r="F181" s="10" t="str">
        <f>IF(D181="","",VLOOKUP(D181,TemplateCode!$A$2:$C$999,3,FALSE))</f>
        <v>Ngày thường</v>
      </c>
      <c r="G181" s="11" t="s">
        <v>52</v>
      </c>
      <c r="H181" s="10" t="str">
        <f>IF(G181="","",VLOOKUP(G181,TemplateCode!$E$2:$G$700,2,FALSE))</f>
        <v>90000456</v>
      </c>
      <c r="I181" s="10" t="str">
        <f>IF(G181="","",VLOOKUP(G181,TemplateCode!$E$2:$G$700,3,FALSE))</f>
        <v>Ca ngày</v>
      </c>
    </row>
    <row r="182" spans="1:9" ht="15.75">
      <c r="A182" s="16">
        <v>43190163</v>
      </c>
      <c r="B182" s="17" t="s">
        <v>73</v>
      </c>
      <c r="C182" s="12" t="s">
        <v>112</v>
      </c>
      <c r="D182" s="11" t="s">
        <v>17</v>
      </c>
      <c r="E182" s="10" t="str">
        <f>IF(D182="","",VLOOKUP(D182,TemplateCode!$A$2:$C$999,2,FALSE))</f>
        <v>1440</v>
      </c>
      <c r="F182" s="10" t="str">
        <f>IF(D182="","",VLOOKUP(D182,TemplateCode!$A$2:$C$999,3,FALSE))</f>
        <v>Ngày thường</v>
      </c>
      <c r="G182" s="11" t="s">
        <v>52</v>
      </c>
      <c r="H182" s="10" t="str">
        <f>IF(G182="","",VLOOKUP(G182,TemplateCode!$E$2:$G$700,2,FALSE))</f>
        <v>90000456</v>
      </c>
      <c r="I182" s="10" t="str">
        <f>IF(G182="","",VLOOKUP(G182,TemplateCode!$E$2:$G$700,3,FALSE))</f>
        <v>Ca ngày</v>
      </c>
    </row>
    <row r="183" spans="1:9" ht="15.75">
      <c r="A183" s="19">
        <v>43190435</v>
      </c>
      <c r="B183" s="20" t="s">
        <v>74</v>
      </c>
      <c r="C183" s="12" t="s">
        <v>112</v>
      </c>
      <c r="D183" s="11" t="s">
        <v>17</v>
      </c>
      <c r="E183" s="10" t="str">
        <f>IF(D183="","",VLOOKUP(D183,TemplateCode!$A$2:$C$999,2,FALSE))</f>
        <v>1440</v>
      </c>
      <c r="F183" s="10" t="str">
        <f>IF(D183="","",VLOOKUP(D183,TemplateCode!$A$2:$C$999,3,FALSE))</f>
        <v>Ngày thường</v>
      </c>
      <c r="G183" s="11" t="s">
        <v>52</v>
      </c>
      <c r="H183" s="10" t="str">
        <f>IF(G183="","",VLOOKUP(G183,TemplateCode!$E$2:$G$700,2,FALSE))</f>
        <v>90000456</v>
      </c>
      <c r="I183" s="10" t="str">
        <f>IF(G183="","",VLOOKUP(G183,TemplateCode!$E$2:$G$700,3,FALSE))</f>
        <v>Ca ngày</v>
      </c>
    </row>
    <row r="184" spans="1:9" ht="15.75">
      <c r="A184" s="21">
        <v>43190459</v>
      </c>
      <c r="B184" s="20" t="s">
        <v>75</v>
      </c>
      <c r="C184" s="12" t="s">
        <v>112</v>
      </c>
      <c r="D184" s="11" t="s">
        <v>17</v>
      </c>
      <c r="E184" s="10" t="str">
        <f>IF(D184="","",VLOOKUP(D184,TemplateCode!$A$2:$C$999,2,FALSE))</f>
        <v>1440</v>
      </c>
      <c r="F184" s="10" t="str">
        <f>IF(D184="","",VLOOKUP(D184,TemplateCode!$A$2:$C$999,3,FALSE))</f>
        <v>Ngày thường</v>
      </c>
      <c r="G184" s="11" t="s">
        <v>52</v>
      </c>
      <c r="H184" s="10" t="str">
        <f>IF(G184="","",VLOOKUP(G184,TemplateCode!$E$2:$G$700,2,FALSE))</f>
        <v>90000456</v>
      </c>
      <c r="I184" s="10" t="str">
        <f>IF(G184="","",VLOOKUP(G184,TemplateCode!$E$2:$G$700,3,FALSE))</f>
        <v>Ca ngày</v>
      </c>
    </row>
    <row r="185" spans="1:9" ht="15.75">
      <c r="A185" s="19">
        <v>43190506</v>
      </c>
      <c r="B185" s="20" t="s">
        <v>76</v>
      </c>
      <c r="C185" s="12" t="s">
        <v>112</v>
      </c>
      <c r="D185" s="11" t="s">
        <v>17</v>
      </c>
      <c r="E185" s="10" t="str">
        <f>IF(D185="","",VLOOKUP(D185,TemplateCode!$A$2:$C$999,2,FALSE))</f>
        <v>1440</v>
      </c>
      <c r="F185" s="10" t="str">
        <f>IF(D185="","",VLOOKUP(D185,TemplateCode!$A$2:$C$999,3,FALSE))</f>
        <v>Ngày thường</v>
      </c>
      <c r="G185" s="11" t="s">
        <v>52</v>
      </c>
      <c r="H185" s="10" t="str">
        <f>IF(G185="","",VLOOKUP(G185,TemplateCode!$E$2:$G$700,2,FALSE))</f>
        <v>90000456</v>
      </c>
      <c r="I185" s="10" t="str">
        <f>IF(G185="","",VLOOKUP(G185,TemplateCode!$E$2:$G$700,3,FALSE))</f>
        <v>Ca ngày</v>
      </c>
    </row>
    <row r="186" spans="1:9" ht="15.75">
      <c r="A186" s="22">
        <v>43190785</v>
      </c>
      <c r="B186" s="22" t="s">
        <v>77</v>
      </c>
      <c r="C186" s="12" t="s">
        <v>112</v>
      </c>
      <c r="D186" s="11" t="s">
        <v>17</v>
      </c>
      <c r="E186" s="10" t="str">
        <f>IF(D186="","",VLOOKUP(D186,TemplateCode!$A$2:$C$999,2,FALSE))</f>
        <v>1440</v>
      </c>
      <c r="F186" s="10" t="str">
        <f>IF(D186="","",VLOOKUP(D186,TemplateCode!$A$2:$C$999,3,FALSE))</f>
        <v>Ngày thường</v>
      </c>
      <c r="G186" s="11" t="s">
        <v>52</v>
      </c>
      <c r="H186" s="10" t="str">
        <f>IF(G186="","",VLOOKUP(G186,TemplateCode!$E$2:$G$700,2,FALSE))</f>
        <v>90000456</v>
      </c>
      <c r="I186" s="10" t="str">
        <f>IF(G186="","",VLOOKUP(G186,TemplateCode!$E$2:$G$700,3,FALSE))</f>
        <v>Ca ngày</v>
      </c>
    </row>
    <row r="187" spans="1:9" ht="18.75">
      <c r="A187" s="13">
        <v>43190799</v>
      </c>
      <c r="B187" s="23" t="s">
        <v>78</v>
      </c>
      <c r="C187" s="12" t="s">
        <v>112</v>
      </c>
      <c r="D187" s="11" t="s">
        <v>17</v>
      </c>
      <c r="E187" s="10" t="str">
        <f>IF(D187="","",VLOOKUP(D187,TemplateCode!$A$2:$C$999,2,FALSE))</f>
        <v>1440</v>
      </c>
      <c r="F187" s="10" t="str">
        <f>IF(D187="","",VLOOKUP(D187,TemplateCode!$A$2:$C$999,3,FALSE))</f>
        <v>Ngày thường</v>
      </c>
      <c r="G187" s="11" t="s">
        <v>52</v>
      </c>
      <c r="H187" s="10" t="str">
        <f>IF(G187="","",VLOOKUP(G187,TemplateCode!$E$2:$G$700,2,FALSE))</f>
        <v>90000456</v>
      </c>
      <c r="I187" s="10" t="str">
        <f>IF(G187="","",VLOOKUP(G187,TemplateCode!$E$2:$G$700,3,FALSE))</f>
        <v>Ca ngày</v>
      </c>
    </row>
    <row r="188" spans="1:9" ht="18.75">
      <c r="A188" s="13">
        <v>43190800</v>
      </c>
      <c r="B188" s="23" t="s">
        <v>79</v>
      </c>
      <c r="C188" s="12" t="s">
        <v>112</v>
      </c>
      <c r="D188" s="11" t="s">
        <v>17</v>
      </c>
      <c r="E188" s="10" t="str">
        <f>IF(D188="","",VLOOKUP(D188,TemplateCode!$A$2:$C$999,2,FALSE))</f>
        <v>1440</v>
      </c>
      <c r="F188" s="10" t="str">
        <f>IF(D188="","",VLOOKUP(D188,TemplateCode!$A$2:$C$999,3,FALSE))</f>
        <v>Ngày thường</v>
      </c>
      <c r="G188" s="11" t="s">
        <v>52</v>
      </c>
      <c r="H188" s="10" t="str">
        <f>IF(G188="","",VLOOKUP(G188,TemplateCode!$E$2:$G$700,2,FALSE))</f>
        <v>90000456</v>
      </c>
      <c r="I188" s="10" t="str">
        <f>IF(G188="","",VLOOKUP(G188,TemplateCode!$E$2:$G$700,3,FALSE))</f>
        <v>Ca ngày</v>
      </c>
    </row>
    <row r="189" spans="1:9" ht="15.75">
      <c r="A189" s="24">
        <v>43190817</v>
      </c>
      <c r="B189" s="25" t="s">
        <v>80</v>
      </c>
      <c r="C189" s="12" t="s">
        <v>112</v>
      </c>
      <c r="D189" s="11" t="s">
        <v>17</v>
      </c>
      <c r="E189" s="10" t="str">
        <f>IF(D189="","",VLOOKUP(D189,TemplateCode!$A$2:$C$999,2,FALSE))</f>
        <v>1440</v>
      </c>
      <c r="F189" s="10" t="str">
        <f>IF(D189="","",VLOOKUP(D189,TemplateCode!$A$2:$C$999,3,FALSE))</f>
        <v>Ngày thường</v>
      </c>
      <c r="G189" s="11" t="s">
        <v>52</v>
      </c>
      <c r="H189" s="10" t="str">
        <f>IF(G189="","",VLOOKUP(G189,TemplateCode!$E$2:$G$700,2,FALSE))</f>
        <v>90000456</v>
      </c>
      <c r="I189" s="10" t="str">
        <f>IF(G189="","",VLOOKUP(G189,TemplateCode!$E$2:$G$700,3,FALSE))</f>
        <v>Ca ngày</v>
      </c>
    </row>
    <row r="190" spans="1:9" ht="15.75">
      <c r="A190" s="26">
        <v>43190892</v>
      </c>
      <c r="B190" s="22" t="s">
        <v>81</v>
      </c>
      <c r="C190" s="12" t="s">
        <v>112</v>
      </c>
      <c r="D190" s="11" t="s">
        <v>17</v>
      </c>
      <c r="E190" s="10" t="str">
        <f>IF(D190="","",VLOOKUP(D190,TemplateCode!$A$2:$C$999,2,FALSE))</f>
        <v>1440</v>
      </c>
      <c r="F190" s="10" t="str">
        <f>IF(D190="","",VLOOKUP(D190,TemplateCode!$A$2:$C$999,3,FALSE))</f>
        <v>Ngày thường</v>
      </c>
      <c r="G190" s="11" t="s">
        <v>52</v>
      </c>
      <c r="H190" s="10" t="str">
        <f>IF(G190="","",VLOOKUP(G190,TemplateCode!$E$2:$G$700,2,FALSE))</f>
        <v>90000456</v>
      </c>
      <c r="I190" s="10" t="str">
        <f>IF(G190="","",VLOOKUP(G190,TemplateCode!$E$2:$G$700,3,FALSE))</f>
        <v>Ca ngày</v>
      </c>
    </row>
    <row r="191" spans="1:9" ht="15.75">
      <c r="A191" s="26">
        <v>43190893</v>
      </c>
      <c r="B191" s="22" t="s">
        <v>82</v>
      </c>
      <c r="C191" s="12" t="s">
        <v>112</v>
      </c>
      <c r="D191" s="11" t="s">
        <v>17</v>
      </c>
      <c r="E191" s="10" t="str">
        <f>IF(D191="","",VLOOKUP(D191,TemplateCode!$A$2:$C$999,2,FALSE))</f>
        <v>1440</v>
      </c>
      <c r="F191" s="10" t="str">
        <f>IF(D191="","",VLOOKUP(D191,TemplateCode!$A$2:$C$999,3,FALSE))</f>
        <v>Ngày thường</v>
      </c>
      <c r="G191" s="11" t="s">
        <v>52</v>
      </c>
      <c r="H191" s="10" t="str">
        <f>IF(G191="","",VLOOKUP(G191,TemplateCode!$E$2:$G$700,2,FALSE))</f>
        <v>90000456</v>
      </c>
      <c r="I191" s="10" t="str">
        <f>IF(G191="","",VLOOKUP(G191,TemplateCode!$E$2:$G$700,3,FALSE))</f>
        <v>Ca ngày</v>
      </c>
    </row>
    <row r="192" spans="1:9" ht="15.75">
      <c r="A192" s="27">
        <v>43190244</v>
      </c>
      <c r="B192" s="28" t="s">
        <v>84</v>
      </c>
      <c r="C192" s="29" t="s">
        <v>112</v>
      </c>
      <c r="D192" s="30" t="s">
        <v>17</v>
      </c>
      <c r="E192" s="31" t="str">
        <f>IF(D192="","",VLOOKUP(D192,TemplateCode!$A$2:$C$999,2,FALSE))</f>
        <v>1440</v>
      </c>
      <c r="F192" s="31" t="str">
        <f>IF(D192="","",VLOOKUP(D192,TemplateCode!$A$2:$C$999,3,FALSE))</f>
        <v>Ngày thường</v>
      </c>
      <c r="G192" s="30" t="s">
        <v>31</v>
      </c>
      <c r="H192" s="31" t="str">
        <f>IF(G192="","",VLOOKUP(G192,TemplateCode!$E$2:$G$700,2,FALSE))</f>
        <v>14015595</v>
      </c>
      <c r="I192" s="31" t="str">
        <f>IF(G192="","",VLOOKUP(G192,TemplateCode!$E$2:$G$700,3,FALSE))</f>
        <v>Ca đêm</v>
      </c>
    </row>
    <row r="193" spans="1:9" ht="15.75">
      <c r="A193" s="32">
        <v>43190464</v>
      </c>
      <c r="B193" s="33" t="s">
        <v>85</v>
      </c>
      <c r="C193" s="29" t="s">
        <v>112</v>
      </c>
      <c r="D193" s="30" t="s">
        <v>17</v>
      </c>
      <c r="E193" s="31" t="str">
        <f>IF(D193="","",VLOOKUP(D193,TemplateCode!$A$2:$C$999,2,FALSE))</f>
        <v>1440</v>
      </c>
      <c r="F193" s="31" t="str">
        <f>IF(D193="","",VLOOKUP(D193,TemplateCode!$A$2:$C$999,3,FALSE))</f>
        <v>Ngày thường</v>
      </c>
      <c r="G193" s="30" t="s">
        <v>31</v>
      </c>
      <c r="H193" s="31" t="str">
        <f>IF(G193="","",VLOOKUP(G193,TemplateCode!$E$2:$G$700,2,FALSE))</f>
        <v>14015595</v>
      </c>
      <c r="I193" s="31" t="str">
        <f>IF(G193="","",VLOOKUP(G193,TemplateCode!$E$2:$G$700,3,FALSE))</f>
        <v>Ca đêm</v>
      </c>
    </row>
    <row r="194" spans="1:9" ht="15.75">
      <c r="A194" s="34">
        <v>43180875</v>
      </c>
      <c r="B194" s="34" t="s">
        <v>86</v>
      </c>
      <c r="C194" s="29" t="s">
        <v>112</v>
      </c>
      <c r="D194" s="30" t="s">
        <v>17</v>
      </c>
      <c r="E194" s="31" t="str">
        <f>IF(D194="","",VLOOKUP(D194,TemplateCode!$A$2:$C$999,2,FALSE))</f>
        <v>1440</v>
      </c>
      <c r="F194" s="31" t="str">
        <f>IF(D194="","",VLOOKUP(D194,TemplateCode!$A$2:$C$999,3,FALSE))</f>
        <v>Ngày thường</v>
      </c>
      <c r="G194" s="30" t="s">
        <v>31</v>
      </c>
      <c r="H194" s="31" t="str">
        <f>IF(G194="","",VLOOKUP(G194,TemplateCode!$E$2:$G$700,2,FALSE))</f>
        <v>14015595</v>
      </c>
      <c r="I194" s="31" t="str">
        <f>IF(G194="","",VLOOKUP(G194,TemplateCode!$E$2:$G$700,3,FALSE))</f>
        <v>Ca đêm</v>
      </c>
    </row>
    <row r="195" spans="1:9" ht="15.75">
      <c r="A195" s="34">
        <v>43180879</v>
      </c>
      <c r="B195" s="34" t="s">
        <v>87</v>
      </c>
      <c r="C195" s="29" t="s">
        <v>112</v>
      </c>
      <c r="D195" s="30" t="s">
        <v>17</v>
      </c>
      <c r="E195" s="31" t="str">
        <f>IF(D195="","",VLOOKUP(D195,TemplateCode!$A$2:$C$999,2,FALSE))</f>
        <v>1440</v>
      </c>
      <c r="F195" s="31" t="str">
        <f>IF(D195="","",VLOOKUP(D195,TemplateCode!$A$2:$C$999,3,FALSE))</f>
        <v>Ngày thường</v>
      </c>
      <c r="G195" s="30" t="s">
        <v>31</v>
      </c>
      <c r="H195" s="31" t="str">
        <f>IF(G195="","",VLOOKUP(G195,TemplateCode!$E$2:$G$700,2,FALSE))</f>
        <v>14015595</v>
      </c>
      <c r="I195" s="31" t="str">
        <f>IF(G195="","",VLOOKUP(G195,TemplateCode!$E$2:$G$700,3,FALSE))</f>
        <v>Ca đêm</v>
      </c>
    </row>
    <row r="196" spans="1:9" ht="15.75">
      <c r="A196" s="27">
        <v>43181074</v>
      </c>
      <c r="B196" s="34" t="s">
        <v>88</v>
      </c>
      <c r="C196" s="29" t="s">
        <v>112</v>
      </c>
      <c r="D196" s="30" t="s">
        <v>17</v>
      </c>
      <c r="E196" s="31" t="str">
        <f>IF(D196="","",VLOOKUP(D196,TemplateCode!$A$2:$C$999,2,FALSE))</f>
        <v>1440</v>
      </c>
      <c r="F196" s="31" t="str">
        <f>IF(D196="","",VLOOKUP(D196,TemplateCode!$A$2:$C$999,3,FALSE))</f>
        <v>Ngày thường</v>
      </c>
      <c r="G196" s="30" t="s">
        <v>31</v>
      </c>
      <c r="H196" s="31" t="str">
        <f>IF(G196="","",VLOOKUP(G196,TemplateCode!$E$2:$G$700,2,FALSE))</f>
        <v>14015595</v>
      </c>
      <c r="I196" s="31" t="str">
        <f>IF(G196="","",VLOOKUP(G196,TemplateCode!$E$2:$G$700,3,FALSE))</f>
        <v>Ca đêm</v>
      </c>
    </row>
    <row r="197" spans="1:9" ht="15.75">
      <c r="A197" s="35">
        <v>43180750</v>
      </c>
      <c r="B197" s="28" t="s">
        <v>89</v>
      </c>
      <c r="C197" s="29" t="s">
        <v>112</v>
      </c>
      <c r="D197" s="30" t="s">
        <v>17</v>
      </c>
      <c r="E197" s="31" t="str">
        <f>IF(D197="","",VLOOKUP(D197,TemplateCode!$A$2:$C$999,2,FALSE))</f>
        <v>1440</v>
      </c>
      <c r="F197" s="31" t="str">
        <f>IF(D197="","",VLOOKUP(D197,TemplateCode!$A$2:$C$999,3,FALSE))</f>
        <v>Ngày thường</v>
      </c>
      <c r="G197" s="30" t="s">
        <v>31</v>
      </c>
      <c r="H197" s="31" t="str">
        <f>IF(G197="","",VLOOKUP(G197,TemplateCode!$E$2:$G$700,2,FALSE))</f>
        <v>14015595</v>
      </c>
      <c r="I197" s="31" t="str">
        <f>IF(G197="","",VLOOKUP(G197,TemplateCode!$E$2:$G$700,3,FALSE))</f>
        <v>Ca đêm</v>
      </c>
    </row>
    <row r="198" spans="1:9" ht="15.75">
      <c r="A198" s="35">
        <v>43181362</v>
      </c>
      <c r="B198" s="28" t="s">
        <v>90</v>
      </c>
      <c r="C198" s="29" t="s">
        <v>112</v>
      </c>
      <c r="D198" s="30" t="s">
        <v>17</v>
      </c>
      <c r="E198" s="31" t="str">
        <f>IF(D198="","",VLOOKUP(D198,TemplateCode!$A$2:$C$999,2,FALSE))</f>
        <v>1440</v>
      </c>
      <c r="F198" s="31" t="str">
        <f>IF(D198="","",VLOOKUP(D198,TemplateCode!$A$2:$C$999,3,FALSE))</f>
        <v>Ngày thường</v>
      </c>
      <c r="G198" s="30" t="s">
        <v>31</v>
      </c>
      <c r="H198" s="31" t="str">
        <f>IF(G198="","",VLOOKUP(G198,TemplateCode!$E$2:$G$700,2,FALSE))</f>
        <v>14015595</v>
      </c>
      <c r="I198" s="31" t="str">
        <f>IF(G198="","",VLOOKUP(G198,TemplateCode!$E$2:$G$700,3,FALSE))</f>
        <v>Ca đêm</v>
      </c>
    </row>
    <row r="199" spans="1:9" ht="15.75">
      <c r="A199" s="35">
        <v>43181479</v>
      </c>
      <c r="B199" s="28" t="s">
        <v>91</v>
      </c>
      <c r="C199" s="29" t="s">
        <v>112</v>
      </c>
      <c r="D199" s="30" t="s">
        <v>17</v>
      </c>
      <c r="E199" s="31" t="str">
        <f>IF(D199="","",VLOOKUP(D199,TemplateCode!$A$2:$C$999,2,FALSE))</f>
        <v>1440</v>
      </c>
      <c r="F199" s="31" t="str">
        <f>IF(D199="","",VLOOKUP(D199,TemplateCode!$A$2:$C$999,3,FALSE))</f>
        <v>Ngày thường</v>
      </c>
      <c r="G199" s="30" t="s">
        <v>31</v>
      </c>
      <c r="H199" s="31" t="str">
        <f>IF(G199="","",VLOOKUP(G199,TemplateCode!$E$2:$G$700,2,FALSE))</f>
        <v>14015595</v>
      </c>
      <c r="I199" s="31" t="str">
        <f>IF(G199="","",VLOOKUP(G199,TemplateCode!$E$2:$G$700,3,FALSE))</f>
        <v>Ca đêm</v>
      </c>
    </row>
    <row r="200" spans="1:9" ht="15.75">
      <c r="A200" s="35">
        <v>43190068</v>
      </c>
      <c r="B200" s="28" t="s">
        <v>92</v>
      </c>
      <c r="C200" s="29" t="s">
        <v>112</v>
      </c>
      <c r="D200" s="30" t="s">
        <v>17</v>
      </c>
      <c r="E200" s="31" t="str">
        <f>IF(D200="","",VLOOKUP(D200,TemplateCode!$A$2:$C$999,2,FALSE))</f>
        <v>1440</v>
      </c>
      <c r="F200" s="31" t="str">
        <f>IF(D200="","",VLOOKUP(D200,TemplateCode!$A$2:$C$999,3,FALSE))</f>
        <v>Ngày thường</v>
      </c>
      <c r="G200" s="30" t="s">
        <v>31</v>
      </c>
      <c r="H200" s="31" t="str">
        <f>IF(G200="","",VLOOKUP(G200,TemplateCode!$E$2:$G$700,2,FALSE))</f>
        <v>14015595</v>
      </c>
      <c r="I200" s="31" t="str">
        <f>IF(G200="","",VLOOKUP(G200,TemplateCode!$E$2:$G$700,3,FALSE))</f>
        <v>Ca đêm</v>
      </c>
    </row>
    <row r="201" spans="1:9" ht="15.75">
      <c r="A201" s="35">
        <v>43190084</v>
      </c>
      <c r="B201" s="28" t="s">
        <v>93</v>
      </c>
      <c r="C201" s="29" t="s">
        <v>112</v>
      </c>
      <c r="D201" s="30" t="s">
        <v>17</v>
      </c>
      <c r="E201" s="31" t="str">
        <f>IF(D201="","",VLOOKUP(D201,TemplateCode!$A$2:$C$999,2,FALSE))</f>
        <v>1440</v>
      </c>
      <c r="F201" s="31" t="str">
        <f>IF(D201="","",VLOOKUP(D201,TemplateCode!$A$2:$C$999,3,FALSE))</f>
        <v>Ngày thường</v>
      </c>
      <c r="G201" s="30" t="s">
        <v>31</v>
      </c>
      <c r="H201" s="31" t="str">
        <f>IF(G201="","",VLOOKUP(G201,TemplateCode!$E$2:$G$700,2,FALSE))</f>
        <v>14015595</v>
      </c>
      <c r="I201" s="31" t="str">
        <f>IF(G201="","",VLOOKUP(G201,TemplateCode!$E$2:$G$700,3,FALSE))</f>
        <v>Ca đêm</v>
      </c>
    </row>
    <row r="202" spans="1:9" ht="15.75">
      <c r="A202" s="27">
        <v>43190108</v>
      </c>
      <c r="B202" s="28" t="s">
        <v>94</v>
      </c>
      <c r="C202" s="29" t="s">
        <v>112</v>
      </c>
      <c r="D202" s="30" t="s">
        <v>17</v>
      </c>
      <c r="E202" s="31" t="str">
        <f>IF(D202="","",VLOOKUP(D202,TemplateCode!$A$2:$C$999,2,FALSE))</f>
        <v>1440</v>
      </c>
      <c r="F202" s="31" t="str">
        <f>IF(D202="","",VLOOKUP(D202,TemplateCode!$A$2:$C$999,3,FALSE))</f>
        <v>Ngày thường</v>
      </c>
      <c r="G202" s="30" t="s">
        <v>31</v>
      </c>
      <c r="H202" s="31" t="str">
        <f>IF(G202="","",VLOOKUP(G202,TemplateCode!$E$2:$G$700,2,FALSE))</f>
        <v>14015595</v>
      </c>
      <c r="I202" s="31" t="str">
        <f>IF(G202="","",VLOOKUP(G202,TemplateCode!$E$2:$G$700,3,FALSE))</f>
        <v>Ca đêm</v>
      </c>
    </row>
    <row r="203" spans="1:9" ht="15.75">
      <c r="A203" s="34">
        <v>43190107</v>
      </c>
      <c r="B203" s="34" t="s">
        <v>95</v>
      </c>
      <c r="C203" s="29" t="s">
        <v>112</v>
      </c>
      <c r="D203" s="30" t="s">
        <v>17</v>
      </c>
      <c r="E203" s="31" t="str">
        <f>IF(D203="","",VLOOKUP(D203,TemplateCode!$A$2:$C$999,2,FALSE))</f>
        <v>1440</v>
      </c>
      <c r="F203" s="31" t="str">
        <f>IF(D203="","",VLOOKUP(D203,TemplateCode!$A$2:$C$999,3,FALSE))</f>
        <v>Ngày thường</v>
      </c>
      <c r="G203" s="30" t="s">
        <v>31</v>
      </c>
      <c r="H203" s="31" t="str">
        <f>IF(G203="","",VLOOKUP(G203,TemplateCode!$E$2:$G$700,2,FALSE))</f>
        <v>14015595</v>
      </c>
      <c r="I203" s="31" t="str">
        <f>IF(G203="","",VLOOKUP(G203,TemplateCode!$E$2:$G$700,3,FALSE))</f>
        <v>Ca đêm</v>
      </c>
    </row>
    <row r="204" spans="1:9" ht="15.75">
      <c r="A204" s="27">
        <v>43190129</v>
      </c>
      <c r="B204" s="28" t="s">
        <v>96</v>
      </c>
      <c r="C204" s="29" t="s">
        <v>112</v>
      </c>
      <c r="D204" s="30" t="s">
        <v>17</v>
      </c>
      <c r="E204" s="31" t="str">
        <f>IF(D204="","",VLOOKUP(D204,TemplateCode!$A$2:$C$999,2,FALSE))</f>
        <v>1440</v>
      </c>
      <c r="F204" s="31" t="str">
        <f>IF(D204="","",VLOOKUP(D204,TemplateCode!$A$2:$C$999,3,FALSE))</f>
        <v>Ngày thường</v>
      </c>
      <c r="G204" s="30" t="s">
        <v>31</v>
      </c>
      <c r="H204" s="31" t="str">
        <f>IF(G204="","",VLOOKUP(G204,TemplateCode!$E$2:$G$700,2,FALSE))</f>
        <v>14015595</v>
      </c>
      <c r="I204" s="31" t="str">
        <f>IF(G204="","",VLOOKUP(G204,TemplateCode!$E$2:$G$700,3,FALSE))</f>
        <v>Ca đêm</v>
      </c>
    </row>
    <row r="205" spans="1:9" ht="15.75">
      <c r="A205" s="34">
        <v>43190248</v>
      </c>
      <c r="B205" s="34" t="s">
        <v>97</v>
      </c>
      <c r="C205" s="29" t="s">
        <v>112</v>
      </c>
      <c r="D205" s="30" t="s">
        <v>17</v>
      </c>
      <c r="E205" s="31" t="str">
        <f>IF(D205="","",VLOOKUP(D205,TemplateCode!$A$2:$C$999,2,FALSE))</f>
        <v>1440</v>
      </c>
      <c r="F205" s="31" t="str">
        <f>IF(D205="","",VLOOKUP(D205,TemplateCode!$A$2:$C$999,3,FALSE))</f>
        <v>Ngày thường</v>
      </c>
      <c r="G205" s="30" t="s">
        <v>31</v>
      </c>
      <c r="H205" s="31" t="str">
        <f>IF(G205="","",VLOOKUP(G205,TemplateCode!$E$2:$G$700,2,FALSE))</f>
        <v>14015595</v>
      </c>
      <c r="I205" s="31" t="str">
        <f>IF(G205="","",VLOOKUP(G205,TemplateCode!$E$2:$G$700,3,FALSE))</f>
        <v>Ca đêm</v>
      </c>
    </row>
    <row r="206" spans="1:9" ht="15.75">
      <c r="A206" s="34">
        <v>43190251</v>
      </c>
      <c r="B206" s="34" t="s">
        <v>98</v>
      </c>
      <c r="C206" s="29" t="s">
        <v>112</v>
      </c>
      <c r="D206" s="30" t="s">
        <v>17</v>
      </c>
      <c r="E206" s="31" t="str">
        <f>IF(D206="","",VLOOKUP(D206,TemplateCode!$A$2:$C$999,2,FALSE))</f>
        <v>1440</v>
      </c>
      <c r="F206" s="31" t="str">
        <f>IF(D206="","",VLOOKUP(D206,TemplateCode!$A$2:$C$999,3,FALSE))</f>
        <v>Ngày thường</v>
      </c>
      <c r="G206" s="30" t="s">
        <v>31</v>
      </c>
      <c r="H206" s="31" t="str">
        <f>IF(G206="","",VLOOKUP(G206,TemplateCode!$E$2:$G$700,2,FALSE))</f>
        <v>14015595</v>
      </c>
      <c r="I206" s="31" t="str">
        <f>IF(G206="","",VLOOKUP(G206,TemplateCode!$E$2:$G$700,3,FALSE))</f>
        <v>Ca đêm</v>
      </c>
    </row>
    <row r="207" spans="1:9" ht="15.75">
      <c r="A207" s="34">
        <v>43190278</v>
      </c>
      <c r="B207" s="34" t="s">
        <v>99</v>
      </c>
      <c r="C207" s="29" t="s">
        <v>112</v>
      </c>
      <c r="D207" s="30" t="s">
        <v>17</v>
      </c>
      <c r="E207" s="31" t="str">
        <f>IF(D207="","",VLOOKUP(D207,TemplateCode!$A$2:$C$999,2,FALSE))</f>
        <v>1440</v>
      </c>
      <c r="F207" s="31" t="str">
        <f>IF(D207="","",VLOOKUP(D207,TemplateCode!$A$2:$C$999,3,FALSE))</f>
        <v>Ngày thường</v>
      </c>
      <c r="G207" s="30" t="s">
        <v>31</v>
      </c>
      <c r="H207" s="31" t="str">
        <f>IF(G207="","",VLOOKUP(G207,TemplateCode!$E$2:$G$700,2,FALSE))</f>
        <v>14015595</v>
      </c>
      <c r="I207" s="31" t="str">
        <f>IF(G207="","",VLOOKUP(G207,TemplateCode!$E$2:$G$700,3,FALSE))</f>
        <v>Ca đêm</v>
      </c>
    </row>
    <row r="208" spans="1:9" ht="15.75">
      <c r="A208" s="36">
        <v>43190385</v>
      </c>
      <c r="B208" s="33" t="s">
        <v>100</v>
      </c>
      <c r="C208" s="29" t="s">
        <v>112</v>
      </c>
      <c r="D208" s="30" t="s">
        <v>17</v>
      </c>
      <c r="E208" s="31" t="str">
        <f>IF(D208="","",VLOOKUP(D208,TemplateCode!$A$2:$C$999,2,FALSE))</f>
        <v>1440</v>
      </c>
      <c r="F208" s="31" t="str">
        <f>IF(D208="","",VLOOKUP(D208,TemplateCode!$A$2:$C$999,3,FALSE))</f>
        <v>Ngày thường</v>
      </c>
      <c r="G208" s="30" t="s">
        <v>31</v>
      </c>
      <c r="H208" s="31" t="str">
        <f>IF(G208="","",VLOOKUP(G208,TemplateCode!$E$2:$G$700,2,FALSE))</f>
        <v>14015595</v>
      </c>
      <c r="I208" s="31" t="str">
        <f>IF(G208="","",VLOOKUP(G208,TemplateCode!$E$2:$G$700,3,FALSE))</f>
        <v>Ca đêm</v>
      </c>
    </row>
    <row r="209" spans="1:9" ht="15.75">
      <c r="A209" s="36">
        <v>43190389</v>
      </c>
      <c r="B209" s="33" t="s">
        <v>101</v>
      </c>
      <c r="C209" s="29" t="s">
        <v>112</v>
      </c>
      <c r="D209" s="30" t="s">
        <v>17</v>
      </c>
      <c r="E209" s="31" t="str">
        <f>IF(D209="","",VLOOKUP(D209,TemplateCode!$A$2:$C$999,2,FALSE))</f>
        <v>1440</v>
      </c>
      <c r="F209" s="31" t="str">
        <f>IF(D209="","",VLOOKUP(D209,TemplateCode!$A$2:$C$999,3,FALSE))</f>
        <v>Ngày thường</v>
      </c>
      <c r="G209" s="30" t="s">
        <v>31</v>
      </c>
      <c r="H209" s="31" t="str">
        <f>IF(G209="","",VLOOKUP(G209,TemplateCode!$E$2:$G$700,2,FALSE))</f>
        <v>14015595</v>
      </c>
      <c r="I209" s="31" t="str">
        <f>IF(G209="","",VLOOKUP(G209,TemplateCode!$E$2:$G$700,3,FALSE))</f>
        <v>Ca đêm</v>
      </c>
    </row>
    <row r="210" spans="1:9" ht="15.75">
      <c r="A210" s="35">
        <v>43181469</v>
      </c>
      <c r="B210" s="28" t="s">
        <v>102</v>
      </c>
      <c r="C210" s="29" t="s">
        <v>112</v>
      </c>
      <c r="D210" s="30" t="s">
        <v>17</v>
      </c>
      <c r="E210" s="31" t="str">
        <f>IF(D210="","",VLOOKUP(D210,TemplateCode!$A$2:$C$999,2,FALSE))</f>
        <v>1440</v>
      </c>
      <c r="F210" s="31" t="str">
        <f>IF(D210="","",VLOOKUP(D210,TemplateCode!$A$2:$C$999,3,FALSE))</f>
        <v>Ngày thường</v>
      </c>
      <c r="G210" s="30" t="s">
        <v>31</v>
      </c>
      <c r="H210" s="31" t="str">
        <f>IF(G210="","",VLOOKUP(G210,TemplateCode!$E$2:$G$700,2,FALSE))</f>
        <v>14015595</v>
      </c>
      <c r="I210" s="31" t="str">
        <f>IF(G210="","",VLOOKUP(G210,TemplateCode!$E$2:$G$700,3,FALSE))</f>
        <v>Ca đêm</v>
      </c>
    </row>
    <row r="211" spans="1:9" ht="15.75">
      <c r="A211" s="36">
        <v>43190403</v>
      </c>
      <c r="B211" s="33" t="s">
        <v>103</v>
      </c>
      <c r="C211" s="29" t="s">
        <v>112</v>
      </c>
      <c r="D211" s="30" t="s">
        <v>17</v>
      </c>
      <c r="E211" s="31" t="str">
        <f>IF(D211="","",VLOOKUP(D211,TemplateCode!$A$2:$C$999,2,FALSE))</f>
        <v>1440</v>
      </c>
      <c r="F211" s="31" t="str">
        <f>IF(D211="","",VLOOKUP(D211,TemplateCode!$A$2:$C$999,3,FALSE))</f>
        <v>Ngày thường</v>
      </c>
      <c r="G211" s="30" t="s">
        <v>31</v>
      </c>
      <c r="H211" s="31" t="str">
        <f>IF(G211="","",VLOOKUP(G211,TemplateCode!$E$2:$G$700,2,FALSE))</f>
        <v>14015595</v>
      </c>
      <c r="I211" s="31" t="str">
        <f>IF(G211="","",VLOOKUP(G211,TemplateCode!$E$2:$G$700,3,FALSE))</f>
        <v>Ca đêm</v>
      </c>
    </row>
    <row r="212" spans="1:9" ht="15.75">
      <c r="A212" s="34">
        <v>43190018</v>
      </c>
      <c r="B212" s="34" t="s">
        <v>104</v>
      </c>
      <c r="C212" s="29" t="s">
        <v>112</v>
      </c>
      <c r="D212" s="30" t="s">
        <v>17</v>
      </c>
      <c r="E212" s="31" t="str">
        <f>IF(D212="","",VLOOKUP(D212,TemplateCode!$A$2:$C$999,2,FALSE))</f>
        <v>1440</v>
      </c>
      <c r="F212" s="31" t="str">
        <f>IF(D212="","",VLOOKUP(D212,TemplateCode!$A$2:$C$999,3,FALSE))</f>
        <v>Ngày thường</v>
      </c>
      <c r="G212" s="30" t="s">
        <v>31</v>
      </c>
      <c r="H212" s="31" t="str">
        <f>IF(G212="","",VLOOKUP(G212,TemplateCode!$E$2:$G$700,2,FALSE))</f>
        <v>14015595</v>
      </c>
      <c r="I212" s="31" t="str">
        <f>IF(G212="","",VLOOKUP(G212,TemplateCode!$E$2:$G$700,3,FALSE))</f>
        <v>Ca đêm</v>
      </c>
    </row>
    <row r="213" spans="1:9" ht="15.75">
      <c r="A213" s="36">
        <v>43190460</v>
      </c>
      <c r="B213" s="33" t="s">
        <v>105</v>
      </c>
      <c r="C213" s="29" t="s">
        <v>112</v>
      </c>
      <c r="D213" s="30" t="s">
        <v>17</v>
      </c>
      <c r="E213" s="31" t="str">
        <f>IF(D213="","",VLOOKUP(D213,TemplateCode!$A$2:$C$999,2,FALSE))</f>
        <v>1440</v>
      </c>
      <c r="F213" s="31" t="str">
        <f>IF(D213="","",VLOOKUP(D213,TemplateCode!$A$2:$C$999,3,FALSE))</f>
        <v>Ngày thường</v>
      </c>
      <c r="G213" s="30" t="s">
        <v>31</v>
      </c>
      <c r="H213" s="31" t="str">
        <f>IF(G213="","",VLOOKUP(G213,TemplateCode!$E$2:$G$700,2,FALSE))</f>
        <v>14015595</v>
      </c>
      <c r="I213" s="31" t="str">
        <f>IF(G213="","",VLOOKUP(G213,TemplateCode!$E$2:$G$700,3,FALSE))</f>
        <v>Ca đêm</v>
      </c>
    </row>
    <row r="214" spans="1:9" ht="15.75">
      <c r="A214" s="27">
        <v>43181073</v>
      </c>
      <c r="B214" s="34" t="s">
        <v>106</v>
      </c>
      <c r="C214" s="29" t="s">
        <v>112</v>
      </c>
      <c r="D214" s="30" t="s">
        <v>17</v>
      </c>
      <c r="E214" s="31" t="str">
        <f>IF(D214="","",VLOOKUP(D214,TemplateCode!$A$2:$C$999,2,FALSE))</f>
        <v>1440</v>
      </c>
      <c r="F214" s="31" t="str">
        <f>IF(D214="","",VLOOKUP(D214,TemplateCode!$A$2:$C$999,3,FALSE))</f>
        <v>Ngày thường</v>
      </c>
      <c r="G214" s="30" t="s">
        <v>31</v>
      </c>
      <c r="H214" s="31" t="str">
        <f>IF(G214="","",VLOOKUP(G214,TemplateCode!$E$2:$G$700,2,FALSE))</f>
        <v>14015595</v>
      </c>
      <c r="I214" s="31" t="str">
        <f>IF(G214="","",VLOOKUP(G214,TemplateCode!$E$2:$G$700,3,FALSE))</f>
        <v>Ca đêm</v>
      </c>
    </row>
    <row r="215" spans="1:9" ht="15.75">
      <c r="A215" s="34">
        <v>43190445</v>
      </c>
      <c r="B215" s="34" t="s">
        <v>107</v>
      </c>
      <c r="C215" s="29" t="s">
        <v>112</v>
      </c>
      <c r="D215" s="30" t="s">
        <v>17</v>
      </c>
      <c r="E215" s="31" t="str">
        <f>IF(D215="","",VLOOKUP(D215,TemplateCode!$A$2:$C$999,2,FALSE))</f>
        <v>1440</v>
      </c>
      <c r="F215" s="31" t="str">
        <f>IF(D215="","",VLOOKUP(D215,TemplateCode!$A$2:$C$999,3,FALSE))</f>
        <v>Ngày thường</v>
      </c>
      <c r="G215" s="30" t="s">
        <v>31</v>
      </c>
      <c r="H215" s="31" t="str">
        <f>IF(G215="","",VLOOKUP(G215,TemplateCode!$E$2:$G$700,2,FALSE))</f>
        <v>14015595</v>
      </c>
      <c r="I215" s="31" t="str">
        <f>IF(G215="","",VLOOKUP(G215,TemplateCode!$E$2:$G$700,3,FALSE))</f>
        <v>Ca đêm</v>
      </c>
    </row>
    <row r="216" spans="1:9" ht="15.75">
      <c r="A216" s="34">
        <v>43190243</v>
      </c>
      <c r="B216" s="34" t="s">
        <v>108</v>
      </c>
      <c r="C216" s="29" t="s">
        <v>112</v>
      </c>
      <c r="D216" s="30" t="s">
        <v>17</v>
      </c>
      <c r="E216" s="31" t="str">
        <f>IF(D216="","",VLOOKUP(D216,TemplateCode!$A$2:$C$999,2,FALSE))</f>
        <v>1440</v>
      </c>
      <c r="F216" s="31" t="str">
        <f>IF(D216="","",VLOOKUP(D216,TemplateCode!$A$2:$C$999,3,FALSE))</f>
        <v>Ngày thường</v>
      </c>
      <c r="G216" s="30" t="s">
        <v>31</v>
      </c>
      <c r="H216" s="31" t="str">
        <f>IF(G216="","",VLOOKUP(G216,TemplateCode!$E$2:$G$700,2,FALSE))</f>
        <v>14015595</v>
      </c>
      <c r="I216" s="31" t="str">
        <f>IF(G216="","",VLOOKUP(G216,TemplateCode!$E$2:$G$700,3,FALSE))</f>
        <v>Ca đêm</v>
      </c>
    </row>
    <row r="217" spans="1:9" ht="15.75">
      <c r="A217" s="37">
        <v>43190805</v>
      </c>
      <c r="B217" s="37" t="s">
        <v>109</v>
      </c>
      <c r="C217" s="29" t="s">
        <v>112</v>
      </c>
      <c r="D217" s="30" t="s">
        <v>17</v>
      </c>
      <c r="E217" s="31" t="str">
        <f>IF(D217="","",VLOOKUP(D217,TemplateCode!$A$2:$C$999,2,FALSE))</f>
        <v>1440</v>
      </c>
      <c r="F217" s="31" t="str">
        <f>IF(D217="","",VLOOKUP(D217,TemplateCode!$A$2:$C$999,3,FALSE))</f>
        <v>Ngày thường</v>
      </c>
      <c r="G217" s="30" t="s">
        <v>31</v>
      </c>
      <c r="H217" s="31" t="str">
        <f>IF(G217="","",VLOOKUP(G217,TemplateCode!$E$2:$G$700,2,FALSE))</f>
        <v>14015595</v>
      </c>
      <c r="I217" s="31" t="str">
        <f>IF(G217="","",VLOOKUP(G217,TemplateCode!$E$2:$G$700,3,FALSE))</f>
        <v>Ca đêm</v>
      </c>
    </row>
    <row r="218" spans="1:9" ht="15.75">
      <c r="A218" s="14">
        <v>43181429</v>
      </c>
      <c r="B218" s="14" t="s">
        <v>55</v>
      </c>
      <c r="C218" s="12" t="s">
        <v>113</v>
      </c>
      <c r="D218" s="11" t="s">
        <v>17</v>
      </c>
      <c r="E218" s="10" t="str">
        <f>IF(D218="","",VLOOKUP(D218,TemplateCode!$A$2:$C$999,2,FALSE))</f>
        <v>1440</v>
      </c>
      <c r="F218" s="10" t="str">
        <f>IF(D218="","",VLOOKUP(D218,TemplateCode!$A$2:$C$999,3,FALSE))</f>
        <v>Ngày thường</v>
      </c>
      <c r="G218" s="11" t="s">
        <v>52</v>
      </c>
      <c r="H218" s="10" t="str">
        <f>IF(G218="","",VLOOKUP(G218,TemplateCode!$E$2:$G$700,2,FALSE))</f>
        <v>90000456</v>
      </c>
      <c r="I218" s="10" t="str">
        <f>IF(G218="","",VLOOKUP(G218,TemplateCode!$E$2:$G$700,3,FALSE))</f>
        <v>Ca ngày</v>
      </c>
    </row>
    <row r="219" spans="1:9" ht="15.75">
      <c r="A219" s="15">
        <v>43181308</v>
      </c>
      <c r="B219" s="15" t="s">
        <v>56</v>
      </c>
      <c r="C219" s="12" t="s">
        <v>113</v>
      </c>
      <c r="D219" s="11" t="s">
        <v>17</v>
      </c>
      <c r="E219" s="10" t="str">
        <f>IF(D219="","",VLOOKUP(D219,TemplateCode!$A$2:$C$999,2,FALSE))</f>
        <v>1440</v>
      </c>
      <c r="F219" s="10" t="str">
        <f>IF(D219="","",VLOOKUP(D219,TemplateCode!$A$2:$C$999,3,FALSE))</f>
        <v>Ngày thường</v>
      </c>
      <c r="G219" s="11" t="s">
        <v>52</v>
      </c>
      <c r="H219" s="10" t="str">
        <f>IF(G219="","",VLOOKUP(G219,TemplateCode!$E$2:$G$700,2,FALSE))</f>
        <v>90000456</v>
      </c>
      <c r="I219" s="10" t="str">
        <f>IF(G219="","",VLOOKUP(G219,TemplateCode!$E$2:$G$700,3,FALSE))</f>
        <v>Ca ngày</v>
      </c>
    </row>
    <row r="220" spans="1:9" ht="15.75">
      <c r="A220" s="16">
        <v>43181355</v>
      </c>
      <c r="B220" s="17" t="s">
        <v>57</v>
      </c>
      <c r="C220" s="12" t="s">
        <v>113</v>
      </c>
      <c r="D220" s="11" t="s">
        <v>17</v>
      </c>
      <c r="E220" s="10" t="str">
        <f>IF(D220="","",VLOOKUP(D220,TemplateCode!$A$2:$C$999,2,FALSE))</f>
        <v>1440</v>
      </c>
      <c r="F220" s="10" t="str">
        <f>IF(D220="","",VLOOKUP(D220,TemplateCode!$A$2:$C$999,3,FALSE))</f>
        <v>Ngày thường</v>
      </c>
      <c r="G220" s="11" t="s">
        <v>52</v>
      </c>
      <c r="H220" s="10" t="str">
        <f>IF(G220="","",VLOOKUP(G220,TemplateCode!$E$2:$G$700,2,FALSE))</f>
        <v>90000456</v>
      </c>
      <c r="I220" s="10" t="str">
        <f>IF(G220="","",VLOOKUP(G220,TemplateCode!$E$2:$G$700,3,FALSE))</f>
        <v>Ca ngày</v>
      </c>
    </row>
    <row r="221" spans="1:9" ht="15.75">
      <c r="A221" s="15">
        <v>43181462</v>
      </c>
      <c r="B221" s="17" t="s">
        <v>58</v>
      </c>
      <c r="C221" s="12" t="s">
        <v>113</v>
      </c>
      <c r="D221" s="11" t="s">
        <v>17</v>
      </c>
      <c r="E221" s="10" t="str">
        <f>IF(D221="","",VLOOKUP(D221,TemplateCode!$A$2:$C$999,2,FALSE))</f>
        <v>1440</v>
      </c>
      <c r="F221" s="10" t="str">
        <f>IF(D221="","",VLOOKUP(D221,TemplateCode!$A$2:$C$999,3,FALSE))</f>
        <v>Ngày thường</v>
      </c>
      <c r="G221" s="11" t="s">
        <v>52</v>
      </c>
      <c r="H221" s="10" t="str">
        <f>IF(G221="","",VLOOKUP(G221,TemplateCode!$E$2:$G$700,2,FALSE))</f>
        <v>90000456</v>
      </c>
      <c r="I221" s="10" t="str">
        <f>IF(G221="","",VLOOKUP(G221,TemplateCode!$E$2:$G$700,3,FALSE))</f>
        <v>Ca ngày</v>
      </c>
    </row>
    <row r="222" spans="1:9" ht="15.75">
      <c r="A222" s="18">
        <v>43181463</v>
      </c>
      <c r="B222" s="17" t="s">
        <v>59</v>
      </c>
      <c r="C222" s="12" t="s">
        <v>113</v>
      </c>
      <c r="D222" s="11" t="s">
        <v>17</v>
      </c>
      <c r="E222" s="10" t="str">
        <f>IF(D222="","",VLOOKUP(D222,TemplateCode!$A$2:$C$999,2,FALSE))</f>
        <v>1440</v>
      </c>
      <c r="F222" s="10" t="str">
        <f>IF(D222="","",VLOOKUP(D222,TemplateCode!$A$2:$C$999,3,FALSE))</f>
        <v>Ngày thường</v>
      </c>
      <c r="G222" s="11" t="s">
        <v>52</v>
      </c>
      <c r="H222" s="10" t="str">
        <f>IF(G222="","",VLOOKUP(G222,TemplateCode!$E$2:$G$700,2,FALSE))</f>
        <v>90000456</v>
      </c>
      <c r="I222" s="10" t="str">
        <f>IF(G222="","",VLOOKUP(G222,TemplateCode!$E$2:$G$700,3,FALSE))</f>
        <v>Ca ngày</v>
      </c>
    </row>
    <row r="223" spans="1:9" ht="15.75">
      <c r="A223" s="15">
        <v>43181487</v>
      </c>
      <c r="B223" s="15" t="s">
        <v>60</v>
      </c>
      <c r="C223" s="12" t="s">
        <v>113</v>
      </c>
      <c r="D223" s="11" t="s">
        <v>17</v>
      </c>
      <c r="E223" s="10" t="str">
        <f>IF(D223="","",VLOOKUP(D223,TemplateCode!$A$2:$C$999,2,FALSE))</f>
        <v>1440</v>
      </c>
      <c r="F223" s="10" t="str">
        <f>IF(D223="","",VLOOKUP(D223,TemplateCode!$A$2:$C$999,3,FALSE))</f>
        <v>Ngày thường</v>
      </c>
      <c r="G223" s="11" t="s">
        <v>52</v>
      </c>
      <c r="H223" s="10" t="str">
        <f>IF(G223="","",VLOOKUP(G223,TemplateCode!$E$2:$G$700,2,FALSE))</f>
        <v>90000456</v>
      </c>
      <c r="I223" s="10" t="str">
        <f>IF(G223="","",VLOOKUP(G223,TemplateCode!$E$2:$G$700,3,FALSE))</f>
        <v>Ca ngày</v>
      </c>
    </row>
    <row r="224" spans="1:9" ht="15.75">
      <c r="A224" s="15">
        <v>43181490</v>
      </c>
      <c r="B224" s="15" t="s">
        <v>61</v>
      </c>
      <c r="C224" s="12" t="s">
        <v>113</v>
      </c>
      <c r="D224" s="11" t="s">
        <v>17</v>
      </c>
      <c r="E224" s="10" t="str">
        <f>IF(D224="","",VLOOKUP(D224,TemplateCode!$A$2:$C$999,2,FALSE))</f>
        <v>1440</v>
      </c>
      <c r="F224" s="10" t="str">
        <f>IF(D224="","",VLOOKUP(D224,TemplateCode!$A$2:$C$999,3,FALSE))</f>
        <v>Ngày thường</v>
      </c>
      <c r="G224" s="11" t="s">
        <v>52</v>
      </c>
      <c r="H224" s="10" t="str">
        <f>IF(G224="","",VLOOKUP(G224,TemplateCode!$E$2:$G$700,2,FALSE))</f>
        <v>90000456</v>
      </c>
      <c r="I224" s="10" t="str">
        <f>IF(G224="","",VLOOKUP(G224,TemplateCode!$E$2:$G$700,3,FALSE))</f>
        <v>Ca ngày</v>
      </c>
    </row>
    <row r="225" spans="1:9" ht="15.75">
      <c r="A225" s="15">
        <v>43190015</v>
      </c>
      <c r="B225" s="15" t="s">
        <v>62</v>
      </c>
      <c r="C225" s="12" t="s">
        <v>113</v>
      </c>
      <c r="D225" s="11" t="s">
        <v>17</v>
      </c>
      <c r="E225" s="10" t="str">
        <f>IF(D225="","",VLOOKUP(D225,TemplateCode!$A$2:$C$999,2,FALSE))</f>
        <v>1440</v>
      </c>
      <c r="F225" s="10" t="str">
        <f>IF(D225="","",VLOOKUP(D225,TemplateCode!$A$2:$C$999,3,FALSE))</f>
        <v>Ngày thường</v>
      </c>
      <c r="G225" s="11" t="s">
        <v>52</v>
      </c>
      <c r="H225" s="10" t="str">
        <f>IF(G225="","",VLOOKUP(G225,TemplateCode!$E$2:$G$700,2,FALSE))</f>
        <v>90000456</v>
      </c>
      <c r="I225" s="10" t="str">
        <f>IF(G225="","",VLOOKUP(G225,TemplateCode!$E$2:$G$700,3,FALSE))</f>
        <v>Ca ngày</v>
      </c>
    </row>
    <row r="226" spans="1:9" ht="15.75">
      <c r="A226" s="15">
        <v>43190023</v>
      </c>
      <c r="B226" s="15" t="s">
        <v>63</v>
      </c>
      <c r="C226" s="12" t="s">
        <v>113</v>
      </c>
      <c r="D226" s="11" t="s">
        <v>17</v>
      </c>
      <c r="E226" s="10" t="str">
        <f>IF(D226="","",VLOOKUP(D226,TemplateCode!$A$2:$C$999,2,FALSE))</f>
        <v>1440</v>
      </c>
      <c r="F226" s="10" t="str">
        <f>IF(D226="","",VLOOKUP(D226,TemplateCode!$A$2:$C$999,3,FALSE))</f>
        <v>Ngày thường</v>
      </c>
      <c r="G226" s="11" t="s">
        <v>52</v>
      </c>
      <c r="H226" s="10" t="str">
        <f>IF(G226="","",VLOOKUP(G226,TemplateCode!$E$2:$G$700,2,FALSE))</f>
        <v>90000456</v>
      </c>
      <c r="I226" s="10" t="str">
        <f>IF(G226="","",VLOOKUP(G226,TemplateCode!$E$2:$G$700,3,FALSE))</f>
        <v>Ca ngày</v>
      </c>
    </row>
    <row r="227" spans="1:9" ht="15.75">
      <c r="A227" s="15">
        <v>43190030</v>
      </c>
      <c r="B227" s="15" t="s">
        <v>64</v>
      </c>
      <c r="C227" s="12" t="s">
        <v>113</v>
      </c>
      <c r="D227" s="11" t="s">
        <v>17</v>
      </c>
      <c r="E227" s="10" t="str">
        <f>IF(D227="","",VLOOKUP(D227,TemplateCode!$A$2:$C$999,2,FALSE))</f>
        <v>1440</v>
      </c>
      <c r="F227" s="10" t="str">
        <f>IF(D227="","",VLOOKUP(D227,TemplateCode!$A$2:$C$999,3,FALSE))</f>
        <v>Ngày thường</v>
      </c>
      <c r="G227" s="11" t="s">
        <v>52</v>
      </c>
      <c r="H227" s="10" t="str">
        <f>IF(G227="","",VLOOKUP(G227,TemplateCode!$E$2:$G$700,2,FALSE))</f>
        <v>90000456</v>
      </c>
      <c r="I227" s="10" t="str">
        <f>IF(G227="","",VLOOKUP(G227,TemplateCode!$E$2:$G$700,3,FALSE))</f>
        <v>Ca ngày</v>
      </c>
    </row>
    <row r="228" spans="1:9" ht="15.75">
      <c r="A228" s="15">
        <v>43190041</v>
      </c>
      <c r="B228" s="15" t="s">
        <v>65</v>
      </c>
      <c r="C228" s="12" t="s">
        <v>113</v>
      </c>
      <c r="D228" s="11" t="s">
        <v>17</v>
      </c>
      <c r="E228" s="10" t="str">
        <f>IF(D228="","",VLOOKUP(D228,TemplateCode!$A$2:$C$999,2,FALSE))</f>
        <v>1440</v>
      </c>
      <c r="F228" s="10" t="str">
        <f>IF(D228="","",VLOOKUP(D228,TemplateCode!$A$2:$C$999,3,FALSE))</f>
        <v>Ngày thường</v>
      </c>
      <c r="G228" s="11" t="s">
        <v>52</v>
      </c>
      <c r="H228" s="10" t="str">
        <f>IF(G228="","",VLOOKUP(G228,TemplateCode!$E$2:$G$700,2,FALSE))</f>
        <v>90000456</v>
      </c>
      <c r="I228" s="10" t="str">
        <f>IF(G228="","",VLOOKUP(G228,TemplateCode!$E$2:$G$700,3,FALSE))</f>
        <v>Ca ngày</v>
      </c>
    </row>
    <row r="229" spans="1:9" ht="15.75">
      <c r="A229" s="16">
        <v>43190065</v>
      </c>
      <c r="B229" s="15" t="s">
        <v>66</v>
      </c>
      <c r="C229" s="12" t="s">
        <v>113</v>
      </c>
      <c r="D229" s="11" t="s">
        <v>17</v>
      </c>
      <c r="E229" s="10" t="str">
        <f>IF(D229="","",VLOOKUP(D229,TemplateCode!$A$2:$C$999,2,FALSE))</f>
        <v>1440</v>
      </c>
      <c r="F229" s="10" t="str">
        <f>IF(D229="","",VLOOKUP(D229,TemplateCode!$A$2:$C$999,3,FALSE))</f>
        <v>Ngày thường</v>
      </c>
      <c r="G229" s="11" t="s">
        <v>52</v>
      </c>
      <c r="H229" s="10" t="str">
        <f>IF(G229="","",VLOOKUP(G229,TemplateCode!$E$2:$G$700,2,FALSE))</f>
        <v>90000456</v>
      </c>
      <c r="I229" s="10" t="str">
        <f>IF(G229="","",VLOOKUP(G229,TemplateCode!$E$2:$G$700,3,FALSE))</f>
        <v>Ca ngày</v>
      </c>
    </row>
    <row r="230" spans="1:9" ht="15.75">
      <c r="A230" s="16">
        <v>43190105</v>
      </c>
      <c r="B230" s="15" t="s">
        <v>67</v>
      </c>
      <c r="C230" s="12" t="s">
        <v>113</v>
      </c>
      <c r="D230" s="11" t="s">
        <v>17</v>
      </c>
      <c r="E230" s="10" t="str">
        <f>IF(D230="","",VLOOKUP(D230,TemplateCode!$A$2:$C$999,2,FALSE))</f>
        <v>1440</v>
      </c>
      <c r="F230" s="10" t="str">
        <f>IF(D230="","",VLOOKUP(D230,TemplateCode!$A$2:$C$999,3,FALSE))</f>
        <v>Ngày thường</v>
      </c>
      <c r="G230" s="11" t="s">
        <v>52</v>
      </c>
      <c r="H230" s="10" t="str">
        <f>IF(G230="","",VLOOKUP(G230,TemplateCode!$E$2:$G$700,2,FALSE))</f>
        <v>90000456</v>
      </c>
      <c r="I230" s="10" t="str">
        <f>IF(G230="","",VLOOKUP(G230,TemplateCode!$E$2:$G$700,3,FALSE))</f>
        <v>Ca ngày</v>
      </c>
    </row>
    <row r="231" spans="1:9" ht="15.75">
      <c r="A231" s="16">
        <v>43190109</v>
      </c>
      <c r="B231" s="17" t="s">
        <v>68</v>
      </c>
      <c r="C231" s="12" t="s">
        <v>113</v>
      </c>
      <c r="D231" s="11" t="s">
        <v>17</v>
      </c>
      <c r="E231" s="10" t="str">
        <f>IF(D231="","",VLOOKUP(D231,TemplateCode!$A$2:$C$999,2,FALSE))</f>
        <v>1440</v>
      </c>
      <c r="F231" s="10" t="str">
        <f>IF(D231="","",VLOOKUP(D231,TemplateCode!$A$2:$C$999,3,FALSE))</f>
        <v>Ngày thường</v>
      </c>
      <c r="G231" s="11" t="s">
        <v>52</v>
      </c>
      <c r="H231" s="10" t="str">
        <f>IF(G231="","",VLOOKUP(G231,TemplateCode!$E$2:$G$700,2,FALSE))</f>
        <v>90000456</v>
      </c>
      <c r="I231" s="10" t="str">
        <f>IF(G231="","",VLOOKUP(G231,TemplateCode!$E$2:$G$700,3,FALSE))</f>
        <v>Ca ngày</v>
      </c>
    </row>
    <row r="232" spans="1:9" ht="15.75">
      <c r="A232" s="18">
        <v>43190124</v>
      </c>
      <c r="B232" s="17" t="s">
        <v>69</v>
      </c>
      <c r="C232" s="12" t="s">
        <v>113</v>
      </c>
      <c r="D232" s="11" t="s">
        <v>17</v>
      </c>
      <c r="E232" s="10" t="str">
        <f>IF(D232="","",VLOOKUP(D232,TemplateCode!$A$2:$C$999,2,FALSE))</f>
        <v>1440</v>
      </c>
      <c r="F232" s="10" t="str">
        <f>IF(D232="","",VLOOKUP(D232,TemplateCode!$A$2:$C$999,3,FALSE))</f>
        <v>Ngày thường</v>
      </c>
      <c r="G232" s="11" t="s">
        <v>52</v>
      </c>
      <c r="H232" s="10" t="str">
        <f>IF(G232="","",VLOOKUP(G232,TemplateCode!$E$2:$G$700,2,FALSE))</f>
        <v>90000456</v>
      </c>
      <c r="I232" s="10" t="str">
        <f>IF(G232="","",VLOOKUP(G232,TemplateCode!$E$2:$G$700,3,FALSE))</f>
        <v>Ca ngày</v>
      </c>
    </row>
    <row r="233" spans="1:9" ht="15.75">
      <c r="A233" s="15">
        <v>43190125</v>
      </c>
      <c r="B233" s="15" t="s">
        <v>70</v>
      </c>
      <c r="C233" s="12" t="s">
        <v>113</v>
      </c>
      <c r="D233" s="11" t="s">
        <v>17</v>
      </c>
      <c r="E233" s="10" t="str">
        <f>IF(D233="","",VLOOKUP(D233,TemplateCode!$A$2:$C$999,2,FALSE))</f>
        <v>1440</v>
      </c>
      <c r="F233" s="10" t="str">
        <f>IF(D233="","",VLOOKUP(D233,TemplateCode!$A$2:$C$999,3,FALSE))</f>
        <v>Ngày thường</v>
      </c>
      <c r="G233" s="11" t="s">
        <v>52</v>
      </c>
      <c r="H233" s="10" t="str">
        <f>IF(G233="","",VLOOKUP(G233,TemplateCode!$E$2:$G$700,2,FALSE))</f>
        <v>90000456</v>
      </c>
      <c r="I233" s="10" t="str">
        <f>IF(G233="","",VLOOKUP(G233,TemplateCode!$E$2:$G$700,3,FALSE))</f>
        <v>Ca ngày</v>
      </c>
    </row>
    <row r="234" spans="1:9" ht="15.75">
      <c r="A234" s="15">
        <v>43190126</v>
      </c>
      <c r="B234" s="15" t="s">
        <v>71</v>
      </c>
      <c r="C234" s="12" t="s">
        <v>113</v>
      </c>
      <c r="D234" s="11" t="s">
        <v>17</v>
      </c>
      <c r="E234" s="10" t="str">
        <f>IF(D234="","",VLOOKUP(D234,TemplateCode!$A$2:$C$999,2,FALSE))</f>
        <v>1440</v>
      </c>
      <c r="F234" s="10" t="str">
        <f>IF(D234="","",VLOOKUP(D234,TemplateCode!$A$2:$C$999,3,FALSE))</f>
        <v>Ngày thường</v>
      </c>
      <c r="G234" s="11" t="s">
        <v>52</v>
      </c>
      <c r="H234" s="10" t="str">
        <f>IF(G234="","",VLOOKUP(G234,TemplateCode!$E$2:$G$700,2,FALSE))</f>
        <v>90000456</v>
      </c>
      <c r="I234" s="10" t="str">
        <f>IF(G234="","",VLOOKUP(G234,TemplateCode!$E$2:$G$700,3,FALSE))</f>
        <v>Ca ngày</v>
      </c>
    </row>
    <row r="235" spans="1:9" ht="15.75">
      <c r="A235" s="15">
        <v>43190169</v>
      </c>
      <c r="B235" s="15" t="s">
        <v>72</v>
      </c>
      <c r="C235" s="12" t="s">
        <v>113</v>
      </c>
      <c r="D235" s="11" t="s">
        <v>17</v>
      </c>
      <c r="E235" s="10" t="str">
        <f>IF(D235="","",VLOOKUP(D235,TemplateCode!$A$2:$C$999,2,FALSE))</f>
        <v>1440</v>
      </c>
      <c r="F235" s="10" t="str">
        <f>IF(D235="","",VLOOKUP(D235,TemplateCode!$A$2:$C$999,3,FALSE))</f>
        <v>Ngày thường</v>
      </c>
      <c r="G235" s="11" t="s">
        <v>52</v>
      </c>
      <c r="H235" s="10" t="str">
        <f>IF(G235="","",VLOOKUP(G235,TemplateCode!$E$2:$G$700,2,FALSE))</f>
        <v>90000456</v>
      </c>
      <c r="I235" s="10" t="str">
        <f>IF(G235="","",VLOOKUP(G235,TemplateCode!$E$2:$G$700,3,FALSE))</f>
        <v>Ca ngày</v>
      </c>
    </row>
    <row r="236" spans="1:9" ht="15.75">
      <c r="A236" s="16">
        <v>43190163</v>
      </c>
      <c r="B236" s="17" t="s">
        <v>73</v>
      </c>
      <c r="C236" s="12" t="s">
        <v>113</v>
      </c>
      <c r="D236" s="11" t="s">
        <v>17</v>
      </c>
      <c r="E236" s="10" t="str">
        <f>IF(D236="","",VLOOKUP(D236,TemplateCode!$A$2:$C$999,2,FALSE))</f>
        <v>1440</v>
      </c>
      <c r="F236" s="10" t="str">
        <f>IF(D236="","",VLOOKUP(D236,TemplateCode!$A$2:$C$999,3,FALSE))</f>
        <v>Ngày thường</v>
      </c>
      <c r="G236" s="11" t="s">
        <v>52</v>
      </c>
      <c r="H236" s="10" t="str">
        <f>IF(G236="","",VLOOKUP(G236,TemplateCode!$E$2:$G$700,2,FALSE))</f>
        <v>90000456</v>
      </c>
      <c r="I236" s="10" t="str">
        <f>IF(G236="","",VLOOKUP(G236,TemplateCode!$E$2:$G$700,3,FALSE))</f>
        <v>Ca ngày</v>
      </c>
    </row>
    <row r="237" spans="1:9" ht="15.75">
      <c r="A237" s="19">
        <v>43190435</v>
      </c>
      <c r="B237" s="20" t="s">
        <v>74</v>
      </c>
      <c r="C237" s="12" t="s">
        <v>113</v>
      </c>
      <c r="D237" s="11" t="s">
        <v>17</v>
      </c>
      <c r="E237" s="10" t="str">
        <f>IF(D237="","",VLOOKUP(D237,TemplateCode!$A$2:$C$999,2,FALSE))</f>
        <v>1440</v>
      </c>
      <c r="F237" s="10" t="str">
        <f>IF(D237="","",VLOOKUP(D237,TemplateCode!$A$2:$C$999,3,FALSE))</f>
        <v>Ngày thường</v>
      </c>
      <c r="G237" s="11" t="s">
        <v>52</v>
      </c>
      <c r="H237" s="10" t="str">
        <f>IF(G237="","",VLOOKUP(G237,TemplateCode!$E$2:$G$700,2,FALSE))</f>
        <v>90000456</v>
      </c>
      <c r="I237" s="10" t="str">
        <f>IF(G237="","",VLOOKUP(G237,TemplateCode!$E$2:$G$700,3,FALSE))</f>
        <v>Ca ngày</v>
      </c>
    </row>
    <row r="238" spans="1:9" ht="15.75">
      <c r="A238" s="21">
        <v>43190459</v>
      </c>
      <c r="B238" s="20" t="s">
        <v>75</v>
      </c>
      <c r="C238" s="12" t="s">
        <v>113</v>
      </c>
      <c r="D238" s="11" t="s">
        <v>17</v>
      </c>
      <c r="E238" s="10" t="str">
        <f>IF(D238="","",VLOOKUP(D238,TemplateCode!$A$2:$C$999,2,FALSE))</f>
        <v>1440</v>
      </c>
      <c r="F238" s="10" t="str">
        <f>IF(D238="","",VLOOKUP(D238,TemplateCode!$A$2:$C$999,3,FALSE))</f>
        <v>Ngày thường</v>
      </c>
      <c r="G238" s="11" t="s">
        <v>52</v>
      </c>
      <c r="H238" s="10" t="str">
        <f>IF(G238="","",VLOOKUP(G238,TemplateCode!$E$2:$G$700,2,FALSE))</f>
        <v>90000456</v>
      </c>
      <c r="I238" s="10" t="str">
        <f>IF(G238="","",VLOOKUP(G238,TemplateCode!$E$2:$G$700,3,FALSE))</f>
        <v>Ca ngày</v>
      </c>
    </row>
    <row r="239" spans="1:9" ht="15.75">
      <c r="A239" s="19">
        <v>43190506</v>
      </c>
      <c r="B239" s="20" t="s">
        <v>76</v>
      </c>
      <c r="C239" s="12" t="s">
        <v>113</v>
      </c>
      <c r="D239" s="11" t="s">
        <v>17</v>
      </c>
      <c r="E239" s="10" t="str">
        <f>IF(D239="","",VLOOKUP(D239,TemplateCode!$A$2:$C$999,2,FALSE))</f>
        <v>1440</v>
      </c>
      <c r="F239" s="10" t="str">
        <f>IF(D239="","",VLOOKUP(D239,TemplateCode!$A$2:$C$999,3,FALSE))</f>
        <v>Ngày thường</v>
      </c>
      <c r="G239" s="11" t="s">
        <v>52</v>
      </c>
      <c r="H239" s="10" t="str">
        <f>IF(G239="","",VLOOKUP(G239,TemplateCode!$E$2:$G$700,2,FALSE))</f>
        <v>90000456</v>
      </c>
      <c r="I239" s="10" t="str">
        <f>IF(G239="","",VLOOKUP(G239,TemplateCode!$E$2:$G$700,3,FALSE))</f>
        <v>Ca ngày</v>
      </c>
    </row>
    <row r="240" spans="1:9" ht="15.75">
      <c r="A240" s="22">
        <v>43190785</v>
      </c>
      <c r="B240" s="22" t="s">
        <v>77</v>
      </c>
      <c r="C240" s="12" t="s">
        <v>113</v>
      </c>
      <c r="D240" s="11" t="s">
        <v>17</v>
      </c>
      <c r="E240" s="10" t="str">
        <f>IF(D240="","",VLOOKUP(D240,TemplateCode!$A$2:$C$999,2,FALSE))</f>
        <v>1440</v>
      </c>
      <c r="F240" s="10" t="str">
        <f>IF(D240="","",VLOOKUP(D240,TemplateCode!$A$2:$C$999,3,FALSE))</f>
        <v>Ngày thường</v>
      </c>
      <c r="G240" s="11" t="s">
        <v>52</v>
      </c>
      <c r="H240" s="10" t="str">
        <f>IF(G240="","",VLOOKUP(G240,TemplateCode!$E$2:$G$700,2,FALSE))</f>
        <v>90000456</v>
      </c>
      <c r="I240" s="10" t="str">
        <f>IF(G240="","",VLOOKUP(G240,TemplateCode!$E$2:$G$700,3,FALSE))</f>
        <v>Ca ngày</v>
      </c>
    </row>
    <row r="241" spans="1:9" ht="18.75">
      <c r="A241" s="13">
        <v>43190799</v>
      </c>
      <c r="B241" s="23" t="s">
        <v>78</v>
      </c>
      <c r="C241" s="12" t="s">
        <v>113</v>
      </c>
      <c r="D241" s="11" t="s">
        <v>17</v>
      </c>
      <c r="E241" s="10" t="str">
        <f>IF(D241="","",VLOOKUP(D241,TemplateCode!$A$2:$C$999,2,FALSE))</f>
        <v>1440</v>
      </c>
      <c r="F241" s="10" t="str">
        <f>IF(D241="","",VLOOKUP(D241,TemplateCode!$A$2:$C$999,3,FALSE))</f>
        <v>Ngày thường</v>
      </c>
      <c r="G241" s="11" t="s">
        <v>52</v>
      </c>
      <c r="H241" s="10" t="str">
        <f>IF(G241="","",VLOOKUP(G241,TemplateCode!$E$2:$G$700,2,FALSE))</f>
        <v>90000456</v>
      </c>
      <c r="I241" s="10" t="str">
        <f>IF(G241="","",VLOOKUP(G241,TemplateCode!$E$2:$G$700,3,FALSE))</f>
        <v>Ca ngày</v>
      </c>
    </row>
    <row r="242" spans="1:9" ht="18.75">
      <c r="A242" s="13">
        <v>43190800</v>
      </c>
      <c r="B242" s="23" t="s">
        <v>79</v>
      </c>
      <c r="C242" s="12" t="s">
        <v>113</v>
      </c>
      <c r="D242" s="11" t="s">
        <v>17</v>
      </c>
      <c r="E242" s="10" t="str">
        <f>IF(D242="","",VLOOKUP(D242,TemplateCode!$A$2:$C$999,2,FALSE))</f>
        <v>1440</v>
      </c>
      <c r="F242" s="10" t="str">
        <f>IF(D242="","",VLOOKUP(D242,TemplateCode!$A$2:$C$999,3,FALSE))</f>
        <v>Ngày thường</v>
      </c>
      <c r="G242" s="11" t="s">
        <v>52</v>
      </c>
      <c r="H242" s="10" t="str">
        <f>IF(G242="","",VLOOKUP(G242,TemplateCode!$E$2:$G$700,2,FALSE))</f>
        <v>90000456</v>
      </c>
      <c r="I242" s="10" t="str">
        <f>IF(G242="","",VLOOKUP(G242,TemplateCode!$E$2:$G$700,3,FALSE))</f>
        <v>Ca ngày</v>
      </c>
    </row>
    <row r="243" spans="1:9" ht="15.75">
      <c r="A243" s="24">
        <v>43190817</v>
      </c>
      <c r="B243" s="25" t="s">
        <v>80</v>
      </c>
      <c r="C243" s="12" t="s">
        <v>113</v>
      </c>
      <c r="D243" s="11" t="s">
        <v>17</v>
      </c>
      <c r="E243" s="10" t="str">
        <f>IF(D243="","",VLOOKUP(D243,TemplateCode!$A$2:$C$999,2,FALSE))</f>
        <v>1440</v>
      </c>
      <c r="F243" s="10" t="str">
        <f>IF(D243="","",VLOOKUP(D243,TemplateCode!$A$2:$C$999,3,FALSE))</f>
        <v>Ngày thường</v>
      </c>
      <c r="G243" s="11" t="s">
        <v>52</v>
      </c>
      <c r="H243" s="10" t="str">
        <f>IF(G243="","",VLOOKUP(G243,TemplateCode!$E$2:$G$700,2,FALSE))</f>
        <v>90000456</v>
      </c>
      <c r="I243" s="10" t="str">
        <f>IF(G243="","",VLOOKUP(G243,TemplateCode!$E$2:$G$700,3,FALSE))</f>
        <v>Ca ngày</v>
      </c>
    </row>
    <row r="244" spans="1:9" ht="15.75">
      <c r="A244" s="26">
        <v>43190892</v>
      </c>
      <c r="B244" s="22" t="s">
        <v>81</v>
      </c>
      <c r="C244" s="12" t="s">
        <v>113</v>
      </c>
      <c r="D244" s="11" t="s">
        <v>17</v>
      </c>
      <c r="E244" s="10" t="str">
        <f>IF(D244="","",VLOOKUP(D244,TemplateCode!$A$2:$C$999,2,FALSE))</f>
        <v>1440</v>
      </c>
      <c r="F244" s="10" t="str">
        <f>IF(D244="","",VLOOKUP(D244,TemplateCode!$A$2:$C$999,3,FALSE))</f>
        <v>Ngày thường</v>
      </c>
      <c r="G244" s="11" t="s">
        <v>52</v>
      </c>
      <c r="H244" s="10" t="str">
        <f>IF(G244="","",VLOOKUP(G244,TemplateCode!$E$2:$G$700,2,FALSE))</f>
        <v>90000456</v>
      </c>
      <c r="I244" s="10" t="str">
        <f>IF(G244="","",VLOOKUP(G244,TemplateCode!$E$2:$G$700,3,FALSE))</f>
        <v>Ca ngày</v>
      </c>
    </row>
    <row r="245" spans="1:9" ht="15.75">
      <c r="A245" s="26">
        <v>43190893</v>
      </c>
      <c r="B245" s="22" t="s">
        <v>82</v>
      </c>
      <c r="C245" s="12" t="s">
        <v>113</v>
      </c>
      <c r="D245" s="11" t="s">
        <v>17</v>
      </c>
      <c r="E245" s="10" t="str">
        <f>IF(D245="","",VLOOKUP(D245,TemplateCode!$A$2:$C$999,2,FALSE))</f>
        <v>1440</v>
      </c>
      <c r="F245" s="10" t="str">
        <f>IF(D245="","",VLOOKUP(D245,TemplateCode!$A$2:$C$999,3,FALSE))</f>
        <v>Ngày thường</v>
      </c>
      <c r="G245" s="11" t="s">
        <v>52</v>
      </c>
      <c r="H245" s="10" t="str">
        <f>IF(G245="","",VLOOKUP(G245,TemplateCode!$E$2:$G$700,2,FALSE))</f>
        <v>90000456</v>
      </c>
      <c r="I245" s="10" t="str">
        <f>IF(G245="","",VLOOKUP(G245,TemplateCode!$E$2:$G$700,3,FALSE))</f>
        <v>Ca ngày</v>
      </c>
    </row>
    <row r="246" spans="1:9" ht="15.75">
      <c r="A246" s="27">
        <v>43190244</v>
      </c>
      <c r="B246" s="28" t="s">
        <v>84</v>
      </c>
      <c r="C246" s="29" t="s">
        <v>113</v>
      </c>
      <c r="D246" s="30" t="s">
        <v>17</v>
      </c>
      <c r="E246" s="31" t="str">
        <f>IF(D246="","",VLOOKUP(D246,TemplateCode!$A$2:$C$999,2,FALSE))</f>
        <v>1440</v>
      </c>
      <c r="F246" s="31" t="str">
        <f>IF(D246="","",VLOOKUP(D246,TemplateCode!$A$2:$C$999,3,FALSE))</f>
        <v>Ngày thường</v>
      </c>
      <c r="G246" s="30" t="s">
        <v>31</v>
      </c>
      <c r="H246" s="31" t="str">
        <f>IF(G246="","",VLOOKUP(G246,TemplateCode!$E$2:$G$700,2,FALSE))</f>
        <v>14015595</v>
      </c>
      <c r="I246" s="31" t="str">
        <f>IF(G246="","",VLOOKUP(G246,TemplateCode!$E$2:$G$700,3,FALSE))</f>
        <v>Ca đêm</v>
      </c>
    </row>
    <row r="247" spans="1:9" ht="15.75">
      <c r="A247" s="32">
        <v>43190464</v>
      </c>
      <c r="B247" s="33" t="s">
        <v>85</v>
      </c>
      <c r="C247" s="29" t="s">
        <v>113</v>
      </c>
      <c r="D247" s="30" t="s">
        <v>17</v>
      </c>
      <c r="E247" s="31" t="str">
        <f>IF(D247="","",VLOOKUP(D247,TemplateCode!$A$2:$C$999,2,FALSE))</f>
        <v>1440</v>
      </c>
      <c r="F247" s="31" t="str">
        <f>IF(D247="","",VLOOKUP(D247,TemplateCode!$A$2:$C$999,3,FALSE))</f>
        <v>Ngày thường</v>
      </c>
      <c r="G247" s="30" t="s">
        <v>31</v>
      </c>
      <c r="H247" s="31" t="str">
        <f>IF(G247="","",VLOOKUP(G247,TemplateCode!$E$2:$G$700,2,FALSE))</f>
        <v>14015595</v>
      </c>
      <c r="I247" s="31" t="str">
        <f>IF(G247="","",VLOOKUP(G247,TemplateCode!$E$2:$G$700,3,FALSE))</f>
        <v>Ca đêm</v>
      </c>
    </row>
    <row r="248" spans="1:9" ht="15.75">
      <c r="A248" s="34">
        <v>43180875</v>
      </c>
      <c r="B248" s="34" t="s">
        <v>86</v>
      </c>
      <c r="C248" s="29" t="s">
        <v>113</v>
      </c>
      <c r="D248" s="30" t="s">
        <v>17</v>
      </c>
      <c r="E248" s="31" t="str">
        <f>IF(D248="","",VLOOKUP(D248,TemplateCode!$A$2:$C$999,2,FALSE))</f>
        <v>1440</v>
      </c>
      <c r="F248" s="31" t="str">
        <f>IF(D248="","",VLOOKUP(D248,TemplateCode!$A$2:$C$999,3,FALSE))</f>
        <v>Ngày thường</v>
      </c>
      <c r="G248" s="30" t="s">
        <v>31</v>
      </c>
      <c r="H248" s="31" t="str">
        <f>IF(G248="","",VLOOKUP(G248,TemplateCode!$E$2:$G$700,2,FALSE))</f>
        <v>14015595</v>
      </c>
      <c r="I248" s="31" t="str">
        <f>IF(G248="","",VLOOKUP(G248,TemplateCode!$E$2:$G$700,3,FALSE))</f>
        <v>Ca đêm</v>
      </c>
    </row>
    <row r="249" spans="1:9" ht="15.75">
      <c r="A249" s="34">
        <v>43180879</v>
      </c>
      <c r="B249" s="34" t="s">
        <v>87</v>
      </c>
      <c r="C249" s="29" t="s">
        <v>113</v>
      </c>
      <c r="D249" s="30" t="s">
        <v>17</v>
      </c>
      <c r="E249" s="31" t="str">
        <f>IF(D249="","",VLOOKUP(D249,TemplateCode!$A$2:$C$999,2,FALSE))</f>
        <v>1440</v>
      </c>
      <c r="F249" s="31" t="str">
        <f>IF(D249="","",VLOOKUP(D249,TemplateCode!$A$2:$C$999,3,FALSE))</f>
        <v>Ngày thường</v>
      </c>
      <c r="G249" s="30" t="s">
        <v>31</v>
      </c>
      <c r="H249" s="31" t="str">
        <f>IF(G249="","",VLOOKUP(G249,TemplateCode!$E$2:$G$700,2,FALSE))</f>
        <v>14015595</v>
      </c>
      <c r="I249" s="31" t="str">
        <f>IF(G249="","",VLOOKUP(G249,TemplateCode!$E$2:$G$700,3,FALSE))</f>
        <v>Ca đêm</v>
      </c>
    </row>
    <row r="250" spans="1:9" ht="15.75">
      <c r="A250" s="27">
        <v>43181074</v>
      </c>
      <c r="B250" s="34" t="s">
        <v>88</v>
      </c>
      <c r="C250" s="29" t="s">
        <v>113</v>
      </c>
      <c r="D250" s="30" t="s">
        <v>17</v>
      </c>
      <c r="E250" s="31" t="str">
        <f>IF(D250="","",VLOOKUP(D250,TemplateCode!$A$2:$C$999,2,FALSE))</f>
        <v>1440</v>
      </c>
      <c r="F250" s="31" t="str">
        <f>IF(D250="","",VLOOKUP(D250,TemplateCode!$A$2:$C$999,3,FALSE))</f>
        <v>Ngày thường</v>
      </c>
      <c r="G250" s="30" t="s">
        <v>31</v>
      </c>
      <c r="H250" s="31" t="str">
        <f>IF(G250="","",VLOOKUP(G250,TemplateCode!$E$2:$G$700,2,FALSE))</f>
        <v>14015595</v>
      </c>
      <c r="I250" s="31" t="str">
        <f>IF(G250="","",VLOOKUP(G250,TemplateCode!$E$2:$G$700,3,FALSE))</f>
        <v>Ca đêm</v>
      </c>
    </row>
    <row r="251" spans="1:9" ht="15.75">
      <c r="A251" s="35">
        <v>43180750</v>
      </c>
      <c r="B251" s="28" t="s">
        <v>89</v>
      </c>
      <c r="C251" s="29" t="s">
        <v>113</v>
      </c>
      <c r="D251" s="30" t="s">
        <v>17</v>
      </c>
      <c r="E251" s="31" t="str">
        <f>IF(D251="","",VLOOKUP(D251,TemplateCode!$A$2:$C$999,2,FALSE))</f>
        <v>1440</v>
      </c>
      <c r="F251" s="31" t="str">
        <f>IF(D251="","",VLOOKUP(D251,TemplateCode!$A$2:$C$999,3,FALSE))</f>
        <v>Ngày thường</v>
      </c>
      <c r="G251" s="30" t="s">
        <v>31</v>
      </c>
      <c r="H251" s="31" t="str">
        <f>IF(G251="","",VLOOKUP(G251,TemplateCode!$E$2:$G$700,2,FALSE))</f>
        <v>14015595</v>
      </c>
      <c r="I251" s="31" t="str">
        <f>IF(G251="","",VLOOKUP(G251,TemplateCode!$E$2:$G$700,3,FALSE))</f>
        <v>Ca đêm</v>
      </c>
    </row>
    <row r="252" spans="1:9" ht="15.75">
      <c r="A252" s="35">
        <v>43181362</v>
      </c>
      <c r="B252" s="28" t="s">
        <v>90</v>
      </c>
      <c r="C252" s="29" t="s">
        <v>113</v>
      </c>
      <c r="D252" s="30" t="s">
        <v>17</v>
      </c>
      <c r="E252" s="31" t="str">
        <f>IF(D252="","",VLOOKUP(D252,TemplateCode!$A$2:$C$999,2,FALSE))</f>
        <v>1440</v>
      </c>
      <c r="F252" s="31" t="str">
        <f>IF(D252="","",VLOOKUP(D252,TemplateCode!$A$2:$C$999,3,FALSE))</f>
        <v>Ngày thường</v>
      </c>
      <c r="G252" s="30" t="s">
        <v>31</v>
      </c>
      <c r="H252" s="31" t="str">
        <f>IF(G252="","",VLOOKUP(G252,TemplateCode!$E$2:$G$700,2,FALSE))</f>
        <v>14015595</v>
      </c>
      <c r="I252" s="31" t="str">
        <f>IF(G252="","",VLOOKUP(G252,TemplateCode!$E$2:$G$700,3,FALSE))</f>
        <v>Ca đêm</v>
      </c>
    </row>
    <row r="253" spans="1:9" ht="15.75">
      <c r="A253" s="35">
        <v>43181479</v>
      </c>
      <c r="B253" s="28" t="s">
        <v>91</v>
      </c>
      <c r="C253" s="29" t="s">
        <v>113</v>
      </c>
      <c r="D253" s="30" t="s">
        <v>17</v>
      </c>
      <c r="E253" s="31" t="str">
        <f>IF(D253="","",VLOOKUP(D253,TemplateCode!$A$2:$C$999,2,FALSE))</f>
        <v>1440</v>
      </c>
      <c r="F253" s="31" t="str">
        <f>IF(D253="","",VLOOKUP(D253,TemplateCode!$A$2:$C$999,3,FALSE))</f>
        <v>Ngày thường</v>
      </c>
      <c r="G253" s="30" t="s">
        <v>31</v>
      </c>
      <c r="H253" s="31" t="str">
        <f>IF(G253="","",VLOOKUP(G253,TemplateCode!$E$2:$G$700,2,FALSE))</f>
        <v>14015595</v>
      </c>
      <c r="I253" s="31" t="str">
        <f>IF(G253="","",VLOOKUP(G253,TemplateCode!$E$2:$G$700,3,FALSE))</f>
        <v>Ca đêm</v>
      </c>
    </row>
    <row r="254" spans="1:9" ht="15.75">
      <c r="A254" s="35">
        <v>43190068</v>
      </c>
      <c r="B254" s="28" t="s">
        <v>92</v>
      </c>
      <c r="C254" s="29" t="s">
        <v>113</v>
      </c>
      <c r="D254" s="30" t="s">
        <v>17</v>
      </c>
      <c r="E254" s="31" t="str">
        <f>IF(D254="","",VLOOKUP(D254,TemplateCode!$A$2:$C$999,2,FALSE))</f>
        <v>1440</v>
      </c>
      <c r="F254" s="31" t="str">
        <f>IF(D254="","",VLOOKUP(D254,TemplateCode!$A$2:$C$999,3,FALSE))</f>
        <v>Ngày thường</v>
      </c>
      <c r="G254" s="30" t="s">
        <v>31</v>
      </c>
      <c r="H254" s="31" t="str">
        <f>IF(G254="","",VLOOKUP(G254,TemplateCode!$E$2:$G$700,2,FALSE))</f>
        <v>14015595</v>
      </c>
      <c r="I254" s="31" t="str">
        <f>IF(G254="","",VLOOKUP(G254,TemplateCode!$E$2:$G$700,3,FALSE))</f>
        <v>Ca đêm</v>
      </c>
    </row>
    <row r="255" spans="1:9" ht="15.75">
      <c r="A255" s="35">
        <v>43190084</v>
      </c>
      <c r="B255" s="28" t="s">
        <v>93</v>
      </c>
      <c r="C255" s="29" t="s">
        <v>113</v>
      </c>
      <c r="D255" s="30" t="s">
        <v>17</v>
      </c>
      <c r="E255" s="31" t="str">
        <f>IF(D255="","",VLOOKUP(D255,TemplateCode!$A$2:$C$999,2,FALSE))</f>
        <v>1440</v>
      </c>
      <c r="F255" s="31" t="str">
        <f>IF(D255="","",VLOOKUP(D255,TemplateCode!$A$2:$C$999,3,FALSE))</f>
        <v>Ngày thường</v>
      </c>
      <c r="G255" s="30" t="s">
        <v>31</v>
      </c>
      <c r="H255" s="31" t="str">
        <f>IF(G255="","",VLOOKUP(G255,TemplateCode!$E$2:$G$700,2,FALSE))</f>
        <v>14015595</v>
      </c>
      <c r="I255" s="31" t="str">
        <f>IF(G255="","",VLOOKUP(G255,TemplateCode!$E$2:$G$700,3,FALSE))</f>
        <v>Ca đêm</v>
      </c>
    </row>
    <row r="256" spans="1:9" ht="15.75">
      <c r="A256" s="27">
        <v>43190108</v>
      </c>
      <c r="B256" s="28" t="s">
        <v>94</v>
      </c>
      <c r="C256" s="29" t="s">
        <v>113</v>
      </c>
      <c r="D256" s="30" t="s">
        <v>17</v>
      </c>
      <c r="E256" s="31" t="str">
        <f>IF(D256="","",VLOOKUP(D256,TemplateCode!$A$2:$C$999,2,FALSE))</f>
        <v>1440</v>
      </c>
      <c r="F256" s="31" t="str">
        <f>IF(D256="","",VLOOKUP(D256,TemplateCode!$A$2:$C$999,3,FALSE))</f>
        <v>Ngày thường</v>
      </c>
      <c r="G256" s="30" t="s">
        <v>31</v>
      </c>
      <c r="H256" s="31" t="str">
        <f>IF(G256="","",VLOOKUP(G256,TemplateCode!$E$2:$G$700,2,FALSE))</f>
        <v>14015595</v>
      </c>
      <c r="I256" s="31" t="str">
        <f>IF(G256="","",VLOOKUP(G256,TemplateCode!$E$2:$G$700,3,FALSE))</f>
        <v>Ca đêm</v>
      </c>
    </row>
    <row r="257" spans="1:9" ht="15.75">
      <c r="A257" s="34">
        <v>43190107</v>
      </c>
      <c r="B257" s="34" t="s">
        <v>95</v>
      </c>
      <c r="C257" s="29" t="s">
        <v>113</v>
      </c>
      <c r="D257" s="30" t="s">
        <v>17</v>
      </c>
      <c r="E257" s="31" t="str">
        <f>IF(D257="","",VLOOKUP(D257,TemplateCode!$A$2:$C$999,2,FALSE))</f>
        <v>1440</v>
      </c>
      <c r="F257" s="31" t="str">
        <f>IF(D257="","",VLOOKUP(D257,TemplateCode!$A$2:$C$999,3,FALSE))</f>
        <v>Ngày thường</v>
      </c>
      <c r="G257" s="30" t="s">
        <v>31</v>
      </c>
      <c r="H257" s="31" t="str">
        <f>IF(G257="","",VLOOKUP(G257,TemplateCode!$E$2:$G$700,2,FALSE))</f>
        <v>14015595</v>
      </c>
      <c r="I257" s="31" t="str">
        <f>IF(G257="","",VLOOKUP(G257,TemplateCode!$E$2:$G$700,3,FALSE))</f>
        <v>Ca đêm</v>
      </c>
    </row>
    <row r="258" spans="1:9" ht="15.75">
      <c r="A258" s="27">
        <v>43190129</v>
      </c>
      <c r="B258" s="28" t="s">
        <v>96</v>
      </c>
      <c r="C258" s="29" t="s">
        <v>113</v>
      </c>
      <c r="D258" s="30" t="s">
        <v>17</v>
      </c>
      <c r="E258" s="31" t="str">
        <f>IF(D258="","",VLOOKUP(D258,TemplateCode!$A$2:$C$999,2,FALSE))</f>
        <v>1440</v>
      </c>
      <c r="F258" s="31" t="str">
        <f>IF(D258="","",VLOOKUP(D258,TemplateCode!$A$2:$C$999,3,FALSE))</f>
        <v>Ngày thường</v>
      </c>
      <c r="G258" s="30" t="s">
        <v>31</v>
      </c>
      <c r="H258" s="31" t="str">
        <f>IF(G258="","",VLOOKUP(G258,TemplateCode!$E$2:$G$700,2,FALSE))</f>
        <v>14015595</v>
      </c>
      <c r="I258" s="31" t="str">
        <f>IF(G258="","",VLOOKUP(G258,TemplateCode!$E$2:$G$700,3,FALSE))</f>
        <v>Ca đêm</v>
      </c>
    </row>
    <row r="259" spans="1:9" ht="15.75">
      <c r="A259" s="34">
        <v>43190248</v>
      </c>
      <c r="B259" s="34" t="s">
        <v>97</v>
      </c>
      <c r="C259" s="29" t="s">
        <v>113</v>
      </c>
      <c r="D259" s="30" t="s">
        <v>17</v>
      </c>
      <c r="E259" s="31" t="str">
        <f>IF(D259="","",VLOOKUP(D259,TemplateCode!$A$2:$C$999,2,FALSE))</f>
        <v>1440</v>
      </c>
      <c r="F259" s="31" t="str">
        <f>IF(D259="","",VLOOKUP(D259,TemplateCode!$A$2:$C$999,3,FALSE))</f>
        <v>Ngày thường</v>
      </c>
      <c r="G259" s="30" t="s">
        <v>31</v>
      </c>
      <c r="H259" s="31" t="str">
        <f>IF(G259="","",VLOOKUP(G259,TemplateCode!$E$2:$G$700,2,FALSE))</f>
        <v>14015595</v>
      </c>
      <c r="I259" s="31" t="str">
        <f>IF(G259="","",VLOOKUP(G259,TemplateCode!$E$2:$G$700,3,FALSE))</f>
        <v>Ca đêm</v>
      </c>
    </row>
    <row r="260" spans="1:9" ht="15.75">
      <c r="A260" s="34">
        <v>43190251</v>
      </c>
      <c r="B260" s="34" t="s">
        <v>98</v>
      </c>
      <c r="C260" s="29" t="s">
        <v>113</v>
      </c>
      <c r="D260" s="30" t="s">
        <v>17</v>
      </c>
      <c r="E260" s="31" t="str">
        <f>IF(D260="","",VLOOKUP(D260,TemplateCode!$A$2:$C$999,2,FALSE))</f>
        <v>1440</v>
      </c>
      <c r="F260" s="31" t="str">
        <f>IF(D260="","",VLOOKUP(D260,TemplateCode!$A$2:$C$999,3,FALSE))</f>
        <v>Ngày thường</v>
      </c>
      <c r="G260" s="30" t="s">
        <v>31</v>
      </c>
      <c r="H260" s="31" t="str">
        <f>IF(G260="","",VLOOKUP(G260,TemplateCode!$E$2:$G$700,2,FALSE))</f>
        <v>14015595</v>
      </c>
      <c r="I260" s="31" t="str">
        <f>IF(G260="","",VLOOKUP(G260,TemplateCode!$E$2:$G$700,3,FALSE))</f>
        <v>Ca đêm</v>
      </c>
    </row>
    <row r="261" spans="1:9" ht="15.75">
      <c r="A261" s="34">
        <v>43190278</v>
      </c>
      <c r="B261" s="34" t="s">
        <v>99</v>
      </c>
      <c r="C261" s="29" t="s">
        <v>113</v>
      </c>
      <c r="D261" s="30" t="s">
        <v>17</v>
      </c>
      <c r="E261" s="31" t="str">
        <f>IF(D261="","",VLOOKUP(D261,TemplateCode!$A$2:$C$999,2,FALSE))</f>
        <v>1440</v>
      </c>
      <c r="F261" s="31" t="str">
        <f>IF(D261="","",VLOOKUP(D261,TemplateCode!$A$2:$C$999,3,FALSE))</f>
        <v>Ngày thường</v>
      </c>
      <c r="G261" s="30" t="s">
        <v>31</v>
      </c>
      <c r="H261" s="31" t="str">
        <f>IF(G261="","",VLOOKUP(G261,TemplateCode!$E$2:$G$700,2,FALSE))</f>
        <v>14015595</v>
      </c>
      <c r="I261" s="31" t="str">
        <f>IF(G261="","",VLOOKUP(G261,TemplateCode!$E$2:$G$700,3,FALSE))</f>
        <v>Ca đêm</v>
      </c>
    </row>
    <row r="262" spans="1:9" ht="15.75">
      <c r="A262" s="36">
        <v>43190385</v>
      </c>
      <c r="B262" s="33" t="s">
        <v>100</v>
      </c>
      <c r="C262" s="29" t="s">
        <v>113</v>
      </c>
      <c r="D262" s="30" t="s">
        <v>17</v>
      </c>
      <c r="E262" s="31" t="str">
        <f>IF(D262="","",VLOOKUP(D262,TemplateCode!$A$2:$C$999,2,FALSE))</f>
        <v>1440</v>
      </c>
      <c r="F262" s="31" t="str">
        <f>IF(D262="","",VLOOKUP(D262,TemplateCode!$A$2:$C$999,3,FALSE))</f>
        <v>Ngày thường</v>
      </c>
      <c r="G262" s="30" t="s">
        <v>31</v>
      </c>
      <c r="H262" s="31" t="str">
        <f>IF(G262="","",VLOOKUP(G262,TemplateCode!$E$2:$G$700,2,FALSE))</f>
        <v>14015595</v>
      </c>
      <c r="I262" s="31" t="str">
        <f>IF(G262="","",VLOOKUP(G262,TemplateCode!$E$2:$G$700,3,FALSE))</f>
        <v>Ca đêm</v>
      </c>
    </row>
    <row r="263" spans="1:9" ht="15.75">
      <c r="A263" s="36">
        <v>43190389</v>
      </c>
      <c r="B263" s="33" t="s">
        <v>101</v>
      </c>
      <c r="C263" s="29" t="s">
        <v>113</v>
      </c>
      <c r="D263" s="30" t="s">
        <v>17</v>
      </c>
      <c r="E263" s="31" t="str">
        <f>IF(D263="","",VLOOKUP(D263,TemplateCode!$A$2:$C$999,2,FALSE))</f>
        <v>1440</v>
      </c>
      <c r="F263" s="31" t="str">
        <f>IF(D263="","",VLOOKUP(D263,TemplateCode!$A$2:$C$999,3,FALSE))</f>
        <v>Ngày thường</v>
      </c>
      <c r="G263" s="30" t="s">
        <v>31</v>
      </c>
      <c r="H263" s="31" t="str">
        <f>IF(G263="","",VLOOKUP(G263,TemplateCode!$E$2:$G$700,2,FALSE))</f>
        <v>14015595</v>
      </c>
      <c r="I263" s="31" t="str">
        <f>IF(G263="","",VLOOKUP(G263,TemplateCode!$E$2:$G$700,3,FALSE))</f>
        <v>Ca đêm</v>
      </c>
    </row>
    <row r="264" spans="1:9" ht="15.75">
      <c r="A264" s="35">
        <v>43181469</v>
      </c>
      <c r="B264" s="28" t="s">
        <v>102</v>
      </c>
      <c r="C264" s="29" t="s">
        <v>113</v>
      </c>
      <c r="D264" s="30" t="s">
        <v>17</v>
      </c>
      <c r="E264" s="31" t="str">
        <f>IF(D264="","",VLOOKUP(D264,TemplateCode!$A$2:$C$999,2,FALSE))</f>
        <v>1440</v>
      </c>
      <c r="F264" s="31" t="str">
        <f>IF(D264="","",VLOOKUP(D264,TemplateCode!$A$2:$C$999,3,FALSE))</f>
        <v>Ngày thường</v>
      </c>
      <c r="G264" s="30" t="s">
        <v>31</v>
      </c>
      <c r="H264" s="31" t="str">
        <f>IF(G264="","",VLOOKUP(G264,TemplateCode!$E$2:$G$700,2,FALSE))</f>
        <v>14015595</v>
      </c>
      <c r="I264" s="31" t="str">
        <f>IF(G264="","",VLOOKUP(G264,TemplateCode!$E$2:$G$700,3,FALSE))</f>
        <v>Ca đêm</v>
      </c>
    </row>
    <row r="265" spans="1:9" ht="15.75">
      <c r="A265" s="36">
        <v>43190403</v>
      </c>
      <c r="B265" s="33" t="s">
        <v>103</v>
      </c>
      <c r="C265" s="29" t="s">
        <v>113</v>
      </c>
      <c r="D265" s="30" t="s">
        <v>17</v>
      </c>
      <c r="E265" s="31" t="str">
        <f>IF(D265="","",VLOOKUP(D265,TemplateCode!$A$2:$C$999,2,FALSE))</f>
        <v>1440</v>
      </c>
      <c r="F265" s="31" t="str">
        <f>IF(D265="","",VLOOKUP(D265,TemplateCode!$A$2:$C$999,3,FALSE))</f>
        <v>Ngày thường</v>
      </c>
      <c r="G265" s="30" t="s">
        <v>31</v>
      </c>
      <c r="H265" s="31" t="str">
        <f>IF(G265="","",VLOOKUP(G265,TemplateCode!$E$2:$G$700,2,FALSE))</f>
        <v>14015595</v>
      </c>
      <c r="I265" s="31" t="str">
        <f>IF(G265="","",VLOOKUP(G265,TemplateCode!$E$2:$G$700,3,FALSE))</f>
        <v>Ca đêm</v>
      </c>
    </row>
    <row r="266" spans="1:9" ht="15.75">
      <c r="A266" s="34">
        <v>43190018</v>
      </c>
      <c r="B266" s="34" t="s">
        <v>104</v>
      </c>
      <c r="C266" s="29" t="s">
        <v>113</v>
      </c>
      <c r="D266" s="30" t="s">
        <v>17</v>
      </c>
      <c r="E266" s="31" t="str">
        <f>IF(D266="","",VLOOKUP(D266,TemplateCode!$A$2:$C$999,2,FALSE))</f>
        <v>1440</v>
      </c>
      <c r="F266" s="31" t="str">
        <f>IF(D266="","",VLOOKUP(D266,TemplateCode!$A$2:$C$999,3,FALSE))</f>
        <v>Ngày thường</v>
      </c>
      <c r="G266" s="30" t="s">
        <v>31</v>
      </c>
      <c r="H266" s="31" t="str">
        <f>IF(G266="","",VLOOKUP(G266,TemplateCode!$E$2:$G$700,2,FALSE))</f>
        <v>14015595</v>
      </c>
      <c r="I266" s="31" t="str">
        <f>IF(G266="","",VLOOKUP(G266,TemplateCode!$E$2:$G$700,3,FALSE))</f>
        <v>Ca đêm</v>
      </c>
    </row>
    <row r="267" spans="1:9" ht="15.75">
      <c r="A267" s="36">
        <v>43190460</v>
      </c>
      <c r="B267" s="33" t="s">
        <v>105</v>
      </c>
      <c r="C267" s="29" t="s">
        <v>113</v>
      </c>
      <c r="D267" s="30" t="s">
        <v>17</v>
      </c>
      <c r="E267" s="31" t="str">
        <f>IF(D267="","",VLOOKUP(D267,TemplateCode!$A$2:$C$999,2,FALSE))</f>
        <v>1440</v>
      </c>
      <c r="F267" s="31" t="str">
        <f>IF(D267="","",VLOOKUP(D267,TemplateCode!$A$2:$C$999,3,FALSE))</f>
        <v>Ngày thường</v>
      </c>
      <c r="G267" s="30" t="s">
        <v>31</v>
      </c>
      <c r="H267" s="31" t="str">
        <f>IF(G267="","",VLOOKUP(G267,TemplateCode!$E$2:$G$700,2,FALSE))</f>
        <v>14015595</v>
      </c>
      <c r="I267" s="31" t="str">
        <f>IF(G267="","",VLOOKUP(G267,TemplateCode!$E$2:$G$700,3,FALSE))</f>
        <v>Ca đêm</v>
      </c>
    </row>
    <row r="268" spans="1:9" ht="15.75">
      <c r="A268" s="27">
        <v>43181073</v>
      </c>
      <c r="B268" s="34" t="s">
        <v>106</v>
      </c>
      <c r="C268" s="29" t="s">
        <v>113</v>
      </c>
      <c r="D268" s="30" t="s">
        <v>17</v>
      </c>
      <c r="E268" s="31" t="str">
        <f>IF(D268="","",VLOOKUP(D268,TemplateCode!$A$2:$C$999,2,FALSE))</f>
        <v>1440</v>
      </c>
      <c r="F268" s="31" t="str">
        <f>IF(D268="","",VLOOKUP(D268,TemplateCode!$A$2:$C$999,3,FALSE))</f>
        <v>Ngày thường</v>
      </c>
      <c r="G268" s="30" t="s">
        <v>31</v>
      </c>
      <c r="H268" s="31" t="str">
        <f>IF(G268="","",VLOOKUP(G268,TemplateCode!$E$2:$G$700,2,FALSE))</f>
        <v>14015595</v>
      </c>
      <c r="I268" s="31" t="str">
        <f>IF(G268="","",VLOOKUP(G268,TemplateCode!$E$2:$G$700,3,FALSE))</f>
        <v>Ca đêm</v>
      </c>
    </row>
    <row r="269" spans="1:9" ht="15.75">
      <c r="A269" s="34">
        <v>43190445</v>
      </c>
      <c r="B269" s="34" t="s">
        <v>107</v>
      </c>
      <c r="C269" s="29" t="s">
        <v>113</v>
      </c>
      <c r="D269" s="30" t="s">
        <v>17</v>
      </c>
      <c r="E269" s="31" t="str">
        <f>IF(D269="","",VLOOKUP(D269,TemplateCode!$A$2:$C$999,2,FALSE))</f>
        <v>1440</v>
      </c>
      <c r="F269" s="31" t="str">
        <f>IF(D269="","",VLOOKUP(D269,TemplateCode!$A$2:$C$999,3,FALSE))</f>
        <v>Ngày thường</v>
      </c>
      <c r="G269" s="30" t="s">
        <v>31</v>
      </c>
      <c r="H269" s="31" t="str">
        <f>IF(G269="","",VLOOKUP(G269,TemplateCode!$E$2:$G$700,2,FALSE))</f>
        <v>14015595</v>
      </c>
      <c r="I269" s="31" t="str">
        <f>IF(G269="","",VLOOKUP(G269,TemplateCode!$E$2:$G$700,3,FALSE))</f>
        <v>Ca đêm</v>
      </c>
    </row>
    <row r="270" spans="1:9" ht="15.75">
      <c r="A270" s="34">
        <v>43190243</v>
      </c>
      <c r="B270" s="34" t="s">
        <v>108</v>
      </c>
      <c r="C270" s="29" t="s">
        <v>113</v>
      </c>
      <c r="D270" s="30" t="s">
        <v>17</v>
      </c>
      <c r="E270" s="31" t="str">
        <f>IF(D270="","",VLOOKUP(D270,TemplateCode!$A$2:$C$999,2,FALSE))</f>
        <v>1440</v>
      </c>
      <c r="F270" s="31" t="str">
        <f>IF(D270="","",VLOOKUP(D270,TemplateCode!$A$2:$C$999,3,FALSE))</f>
        <v>Ngày thường</v>
      </c>
      <c r="G270" s="30" t="s">
        <v>31</v>
      </c>
      <c r="H270" s="31" t="str">
        <f>IF(G270="","",VLOOKUP(G270,TemplateCode!$E$2:$G$700,2,FALSE))</f>
        <v>14015595</v>
      </c>
      <c r="I270" s="31" t="str">
        <f>IF(G270="","",VLOOKUP(G270,TemplateCode!$E$2:$G$700,3,FALSE))</f>
        <v>Ca đêm</v>
      </c>
    </row>
    <row r="271" spans="1:9" ht="15.75">
      <c r="A271" s="37">
        <v>43190805</v>
      </c>
      <c r="B271" s="37" t="s">
        <v>109</v>
      </c>
      <c r="C271" s="29" t="s">
        <v>113</v>
      </c>
      <c r="D271" s="30" t="s">
        <v>17</v>
      </c>
      <c r="E271" s="31" t="str">
        <f>IF(D271="","",VLOOKUP(D271,TemplateCode!$A$2:$C$999,2,FALSE))</f>
        <v>1440</v>
      </c>
      <c r="F271" s="31" t="str">
        <f>IF(D271="","",VLOOKUP(D271,TemplateCode!$A$2:$C$999,3,FALSE))</f>
        <v>Ngày thường</v>
      </c>
      <c r="G271" s="30" t="s">
        <v>31</v>
      </c>
      <c r="H271" s="31" t="str">
        <f>IF(G271="","",VLOOKUP(G271,TemplateCode!$E$2:$G$700,2,FALSE))</f>
        <v>14015595</v>
      </c>
      <c r="I271" s="31" t="str">
        <f>IF(G271="","",VLOOKUP(G271,TemplateCode!$E$2:$G$700,3,FALSE))</f>
        <v>Ca đêm</v>
      </c>
    </row>
    <row r="272" spans="1:9" ht="15.75">
      <c r="A272" s="14">
        <v>43181429</v>
      </c>
      <c r="B272" s="14" t="s">
        <v>55</v>
      </c>
      <c r="C272" s="12" t="s">
        <v>114</v>
      </c>
      <c r="D272" s="11" t="s">
        <v>17</v>
      </c>
      <c r="E272" s="10" t="str">
        <f>IF(D272="","",VLOOKUP(D272,TemplateCode!$A$2:$C$999,2,FALSE))</f>
        <v>1440</v>
      </c>
      <c r="F272" s="10" t="str">
        <f>IF(D272="","",VLOOKUP(D272,TemplateCode!$A$2:$C$999,3,FALSE))</f>
        <v>Ngày thường</v>
      </c>
      <c r="G272" s="11" t="s">
        <v>52</v>
      </c>
      <c r="H272" s="10" t="str">
        <f>IF(G272="","",VLOOKUP(G272,TemplateCode!$E$2:$G$700,2,FALSE))</f>
        <v>90000456</v>
      </c>
      <c r="I272" s="10" t="str">
        <f>IF(G272="","",VLOOKUP(G272,TemplateCode!$E$2:$G$700,3,FALSE))</f>
        <v>Ca ngày</v>
      </c>
    </row>
    <row r="273" spans="1:9" ht="15.75">
      <c r="A273" s="15">
        <v>43181308</v>
      </c>
      <c r="B273" s="15" t="s">
        <v>56</v>
      </c>
      <c r="C273" s="12" t="s">
        <v>114</v>
      </c>
      <c r="D273" s="11" t="s">
        <v>17</v>
      </c>
      <c r="E273" s="10" t="str">
        <f>IF(D273="","",VLOOKUP(D273,TemplateCode!$A$2:$C$999,2,FALSE))</f>
        <v>1440</v>
      </c>
      <c r="F273" s="10" t="str">
        <f>IF(D273="","",VLOOKUP(D273,TemplateCode!$A$2:$C$999,3,FALSE))</f>
        <v>Ngày thường</v>
      </c>
      <c r="G273" s="11" t="s">
        <v>52</v>
      </c>
      <c r="H273" s="10" t="str">
        <f>IF(G273="","",VLOOKUP(G273,TemplateCode!$E$2:$G$700,2,FALSE))</f>
        <v>90000456</v>
      </c>
      <c r="I273" s="10" t="str">
        <f>IF(G273="","",VLOOKUP(G273,TemplateCode!$E$2:$G$700,3,FALSE))</f>
        <v>Ca ngày</v>
      </c>
    </row>
    <row r="274" spans="1:9" ht="15.75">
      <c r="A274" s="16">
        <v>43181355</v>
      </c>
      <c r="B274" s="17" t="s">
        <v>57</v>
      </c>
      <c r="C274" s="12" t="s">
        <v>114</v>
      </c>
      <c r="D274" s="11" t="s">
        <v>17</v>
      </c>
      <c r="E274" s="10" t="str">
        <f>IF(D274="","",VLOOKUP(D274,TemplateCode!$A$2:$C$999,2,FALSE))</f>
        <v>1440</v>
      </c>
      <c r="F274" s="10" t="str">
        <f>IF(D274="","",VLOOKUP(D274,TemplateCode!$A$2:$C$999,3,FALSE))</f>
        <v>Ngày thường</v>
      </c>
      <c r="G274" s="11" t="s">
        <v>52</v>
      </c>
      <c r="H274" s="10" t="str">
        <f>IF(G274="","",VLOOKUP(G274,TemplateCode!$E$2:$G$700,2,FALSE))</f>
        <v>90000456</v>
      </c>
      <c r="I274" s="10" t="str">
        <f>IF(G274="","",VLOOKUP(G274,TemplateCode!$E$2:$G$700,3,FALSE))</f>
        <v>Ca ngày</v>
      </c>
    </row>
    <row r="275" spans="1:9" ht="15.75">
      <c r="A275" s="15">
        <v>43181462</v>
      </c>
      <c r="B275" s="17" t="s">
        <v>58</v>
      </c>
      <c r="C275" s="12" t="s">
        <v>114</v>
      </c>
      <c r="D275" s="11" t="s">
        <v>17</v>
      </c>
      <c r="E275" s="10" t="str">
        <f>IF(D275="","",VLOOKUP(D275,TemplateCode!$A$2:$C$999,2,FALSE))</f>
        <v>1440</v>
      </c>
      <c r="F275" s="10" t="str">
        <f>IF(D275="","",VLOOKUP(D275,TemplateCode!$A$2:$C$999,3,FALSE))</f>
        <v>Ngày thường</v>
      </c>
      <c r="G275" s="11" t="s">
        <v>52</v>
      </c>
      <c r="H275" s="10" t="str">
        <f>IF(G275="","",VLOOKUP(G275,TemplateCode!$E$2:$G$700,2,FALSE))</f>
        <v>90000456</v>
      </c>
      <c r="I275" s="10" t="str">
        <f>IF(G275="","",VLOOKUP(G275,TemplateCode!$E$2:$G$700,3,FALSE))</f>
        <v>Ca ngày</v>
      </c>
    </row>
    <row r="276" spans="1:9" ht="15.75">
      <c r="A276" s="18">
        <v>43181463</v>
      </c>
      <c r="B276" s="17" t="s">
        <v>59</v>
      </c>
      <c r="C276" s="12" t="s">
        <v>114</v>
      </c>
      <c r="D276" s="11" t="s">
        <v>17</v>
      </c>
      <c r="E276" s="10" t="str">
        <f>IF(D276="","",VLOOKUP(D276,TemplateCode!$A$2:$C$999,2,FALSE))</f>
        <v>1440</v>
      </c>
      <c r="F276" s="10" t="str">
        <f>IF(D276="","",VLOOKUP(D276,TemplateCode!$A$2:$C$999,3,FALSE))</f>
        <v>Ngày thường</v>
      </c>
      <c r="G276" s="11" t="s">
        <v>52</v>
      </c>
      <c r="H276" s="10" t="str">
        <f>IF(G276="","",VLOOKUP(G276,TemplateCode!$E$2:$G$700,2,FALSE))</f>
        <v>90000456</v>
      </c>
      <c r="I276" s="10" t="str">
        <f>IF(G276="","",VLOOKUP(G276,TemplateCode!$E$2:$G$700,3,FALSE))</f>
        <v>Ca ngày</v>
      </c>
    </row>
    <row r="277" spans="1:9" ht="15.75">
      <c r="A277" s="15">
        <v>43181487</v>
      </c>
      <c r="B277" s="15" t="s">
        <v>60</v>
      </c>
      <c r="C277" s="12" t="s">
        <v>114</v>
      </c>
      <c r="D277" s="11" t="s">
        <v>17</v>
      </c>
      <c r="E277" s="10" t="str">
        <f>IF(D277="","",VLOOKUP(D277,TemplateCode!$A$2:$C$999,2,FALSE))</f>
        <v>1440</v>
      </c>
      <c r="F277" s="10" t="str">
        <f>IF(D277="","",VLOOKUP(D277,TemplateCode!$A$2:$C$999,3,FALSE))</f>
        <v>Ngày thường</v>
      </c>
      <c r="G277" s="11" t="s">
        <v>52</v>
      </c>
      <c r="H277" s="10" t="str">
        <f>IF(G277="","",VLOOKUP(G277,TemplateCode!$E$2:$G$700,2,FALSE))</f>
        <v>90000456</v>
      </c>
      <c r="I277" s="10" t="str">
        <f>IF(G277="","",VLOOKUP(G277,TemplateCode!$E$2:$G$700,3,FALSE))</f>
        <v>Ca ngày</v>
      </c>
    </row>
    <row r="278" spans="1:9" ht="15.75">
      <c r="A278" s="15">
        <v>43181490</v>
      </c>
      <c r="B278" s="15" t="s">
        <v>61</v>
      </c>
      <c r="C278" s="12" t="s">
        <v>114</v>
      </c>
      <c r="D278" s="11" t="s">
        <v>17</v>
      </c>
      <c r="E278" s="10" t="str">
        <f>IF(D278="","",VLOOKUP(D278,TemplateCode!$A$2:$C$999,2,FALSE))</f>
        <v>1440</v>
      </c>
      <c r="F278" s="10" t="str">
        <f>IF(D278="","",VLOOKUP(D278,TemplateCode!$A$2:$C$999,3,FALSE))</f>
        <v>Ngày thường</v>
      </c>
      <c r="G278" s="11" t="s">
        <v>52</v>
      </c>
      <c r="H278" s="10" t="str">
        <f>IF(G278="","",VLOOKUP(G278,TemplateCode!$E$2:$G$700,2,FALSE))</f>
        <v>90000456</v>
      </c>
      <c r="I278" s="10" t="str">
        <f>IF(G278="","",VLOOKUP(G278,TemplateCode!$E$2:$G$700,3,FALSE))</f>
        <v>Ca ngày</v>
      </c>
    </row>
    <row r="279" spans="1:9" ht="15.75">
      <c r="A279" s="15">
        <v>43190015</v>
      </c>
      <c r="B279" s="15" t="s">
        <v>62</v>
      </c>
      <c r="C279" s="12" t="s">
        <v>114</v>
      </c>
      <c r="D279" s="11" t="s">
        <v>17</v>
      </c>
      <c r="E279" s="10" t="str">
        <f>IF(D279="","",VLOOKUP(D279,TemplateCode!$A$2:$C$999,2,FALSE))</f>
        <v>1440</v>
      </c>
      <c r="F279" s="10" t="str">
        <f>IF(D279="","",VLOOKUP(D279,TemplateCode!$A$2:$C$999,3,FALSE))</f>
        <v>Ngày thường</v>
      </c>
      <c r="G279" s="11" t="s">
        <v>52</v>
      </c>
      <c r="H279" s="10" t="str">
        <f>IF(G279="","",VLOOKUP(G279,TemplateCode!$E$2:$G$700,2,FALSE))</f>
        <v>90000456</v>
      </c>
      <c r="I279" s="10" t="str">
        <f>IF(G279="","",VLOOKUP(G279,TemplateCode!$E$2:$G$700,3,FALSE))</f>
        <v>Ca ngày</v>
      </c>
    </row>
    <row r="280" spans="1:9" ht="15.75">
      <c r="A280" s="15">
        <v>43190023</v>
      </c>
      <c r="B280" s="15" t="s">
        <v>63</v>
      </c>
      <c r="C280" s="12" t="s">
        <v>114</v>
      </c>
      <c r="D280" s="11" t="s">
        <v>17</v>
      </c>
      <c r="E280" s="10" t="str">
        <f>IF(D280="","",VLOOKUP(D280,TemplateCode!$A$2:$C$999,2,FALSE))</f>
        <v>1440</v>
      </c>
      <c r="F280" s="10" t="str">
        <f>IF(D280="","",VLOOKUP(D280,TemplateCode!$A$2:$C$999,3,FALSE))</f>
        <v>Ngày thường</v>
      </c>
      <c r="G280" s="11" t="s">
        <v>52</v>
      </c>
      <c r="H280" s="10" t="str">
        <f>IF(G280="","",VLOOKUP(G280,TemplateCode!$E$2:$G$700,2,FALSE))</f>
        <v>90000456</v>
      </c>
      <c r="I280" s="10" t="str">
        <f>IF(G280="","",VLOOKUP(G280,TemplateCode!$E$2:$G$700,3,FALSE))</f>
        <v>Ca ngày</v>
      </c>
    </row>
    <row r="281" spans="1:9" ht="15.75">
      <c r="A281" s="15">
        <v>43190030</v>
      </c>
      <c r="B281" s="15" t="s">
        <v>64</v>
      </c>
      <c r="C281" s="12" t="s">
        <v>114</v>
      </c>
      <c r="D281" s="11" t="s">
        <v>17</v>
      </c>
      <c r="E281" s="10" t="str">
        <f>IF(D281="","",VLOOKUP(D281,TemplateCode!$A$2:$C$999,2,FALSE))</f>
        <v>1440</v>
      </c>
      <c r="F281" s="10" t="str">
        <f>IF(D281="","",VLOOKUP(D281,TemplateCode!$A$2:$C$999,3,FALSE))</f>
        <v>Ngày thường</v>
      </c>
      <c r="G281" s="11" t="s">
        <v>52</v>
      </c>
      <c r="H281" s="10" t="str">
        <f>IF(G281="","",VLOOKUP(G281,TemplateCode!$E$2:$G$700,2,FALSE))</f>
        <v>90000456</v>
      </c>
      <c r="I281" s="10" t="str">
        <f>IF(G281="","",VLOOKUP(G281,TemplateCode!$E$2:$G$700,3,FALSE))</f>
        <v>Ca ngày</v>
      </c>
    </row>
    <row r="282" spans="1:9" ht="15.75">
      <c r="A282" s="15">
        <v>43190041</v>
      </c>
      <c r="B282" s="15" t="s">
        <v>65</v>
      </c>
      <c r="C282" s="12" t="s">
        <v>114</v>
      </c>
      <c r="D282" s="11" t="s">
        <v>17</v>
      </c>
      <c r="E282" s="10" t="str">
        <f>IF(D282="","",VLOOKUP(D282,TemplateCode!$A$2:$C$999,2,FALSE))</f>
        <v>1440</v>
      </c>
      <c r="F282" s="10" t="str">
        <f>IF(D282="","",VLOOKUP(D282,TemplateCode!$A$2:$C$999,3,FALSE))</f>
        <v>Ngày thường</v>
      </c>
      <c r="G282" s="11" t="s">
        <v>52</v>
      </c>
      <c r="H282" s="10" t="str">
        <f>IF(G282="","",VLOOKUP(G282,TemplateCode!$E$2:$G$700,2,FALSE))</f>
        <v>90000456</v>
      </c>
      <c r="I282" s="10" t="str">
        <f>IF(G282="","",VLOOKUP(G282,TemplateCode!$E$2:$G$700,3,FALSE))</f>
        <v>Ca ngày</v>
      </c>
    </row>
    <row r="283" spans="1:9" ht="15.75">
      <c r="A283" s="16">
        <v>43190065</v>
      </c>
      <c r="B283" s="15" t="s">
        <v>66</v>
      </c>
      <c r="C283" s="12" t="s">
        <v>114</v>
      </c>
      <c r="D283" s="11" t="s">
        <v>17</v>
      </c>
      <c r="E283" s="10" t="str">
        <f>IF(D283="","",VLOOKUP(D283,TemplateCode!$A$2:$C$999,2,FALSE))</f>
        <v>1440</v>
      </c>
      <c r="F283" s="10" t="str">
        <f>IF(D283="","",VLOOKUP(D283,TemplateCode!$A$2:$C$999,3,FALSE))</f>
        <v>Ngày thường</v>
      </c>
      <c r="G283" s="11" t="s">
        <v>52</v>
      </c>
      <c r="H283" s="10" t="str">
        <f>IF(G283="","",VLOOKUP(G283,TemplateCode!$E$2:$G$700,2,FALSE))</f>
        <v>90000456</v>
      </c>
      <c r="I283" s="10" t="str">
        <f>IF(G283="","",VLOOKUP(G283,TemplateCode!$E$2:$G$700,3,FALSE))</f>
        <v>Ca ngày</v>
      </c>
    </row>
    <row r="284" spans="1:9" ht="15.75">
      <c r="A284" s="16">
        <v>43190105</v>
      </c>
      <c r="B284" s="15" t="s">
        <v>67</v>
      </c>
      <c r="C284" s="12" t="s">
        <v>114</v>
      </c>
      <c r="D284" s="11" t="s">
        <v>17</v>
      </c>
      <c r="E284" s="10" t="str">
        <f>IF(D284="","",VLOOKUP(D284,TemplateCode!$A$2:$C$999,2,FALSE))</f>
        <v>1440</v>
      </c>
      <c r="F284" s="10" t="str">
        <f>IF(D284="","",VLOOKUP(D284,TemplateCode!$A$2:$C$999,3,FALSE))</f>
        <v>Ngày thường</v>
      </c>
      <c r="G284" s="11" t="s">
        <v>52</v>
      </c>
      <c r="H284" s="10" t="str">
        <f>IF(G284="","",VLOOKUP(G284,TemplateCode!$E$2:$G$700,2,FALSE))</f>
        <v>90000456</v>
      </c>
      <c r="I284" s="10" t="str">
        <f>IF(G284="","",VLOOKUP(G284,TemplateCode!$E$2:$G$700,3,FALSE))</f>
        <v>Ca ngày</v>
      </c>
    </row>
    <row r="285" spans="1:9" ht="15.75">
      <c r="A285" s="16">
        <v>43190109</v>
      </c>
      <c r="B285" s="17" t="s">
        <v>68</v>
      </c>
      <c r="C285" s="12" t="s">
        <v>114</v>
      </c>
      <c r="D285" s="11" t="s">
        <v>17</v>
      </c>
      <c r="E285" s="10" t="str">
        <f>IF(D285="","",VLOOKUP(D285,TemplateCode!$A$2:$C$999,2,FALSE))</f>
        <v>1440</v>
      </c>
      <c r="F285" s="10" t="str">
        <f>IF(D285="","",VLOOKUP(D285,TemplateCode!$A$2:$C$999,3,FALSE))</f>
        <v>Ngày thường</v>
      </c>
      <c r="G285" s="11" t="s">
        <v>52</v>
      </c>
      <c r="H285" s="10" t="str">
        <f>IF(G285="","",VLOOKUP(G285,TemplateCode!$E$2:$G$700,2,FALSE))</f>
        <v>90000456</v>
      </c>
      <c r="I285" s="10" t="str">
        <f>IF(G285="","",VLOOKUP(G285,TemplateCode!$E$2:$G$700,3,FALSE))</f>
        <v>Ca ngày</v>
      </c>
    </row>
    <row r="286" spans="1:9" ht="15.75">
      <c r="A286" s="18">
        <v>43190124</v>
      </c>
      <c r="B286" s="17" t="s">
        <v>69</v>
      </c>
      <c r="C286" s="12" t="s">
        <v>114</v>
      </c>
      <c r="D286" s="11" t="s">
        <v>17</v>
      </c>
      <c r="E286" s="10" t="str">
        <f>IF(D286="","",VLOOKUP(D286,TemplateCode!$A$2:$C$999,2,FALSE))</f>
        <v>1440</v>
      </c>
      <c r="F286" s="10" t="str">
        <f>IF(D286="","",VLOOKUP(D286,TemplateCode!$A$2:$C$999,3,FALSE))</f>
        <v>Ngày thường</v>
      </c>
      <c r="G286" s="11" t="s">
        <v>52</v>
      </c>
      <c r="H286" s="10" t="str">
        <f>IF(G286="","",VLOOKUP(G286,TemplateCode!$E$2:$G$700,2,FALSE))</f>
        <v>90000456</v>
      </c>
      <c r="I286" s="10" t="str">
        <f>IF(G286="","",VLOOKUP(G286,TemplateCode!$E$2:$G$700,3,FALSE))</f>
        <v>Ca ngày</v>
      </c>
    </row>
    <row r="287" spans="1:9" ht="15.75">
      <c r="A287" s="15">
        <v>43190125</v>
      </c>
      <c r="B287" s="15" t="s">
        <v>70</v>
      </c>
      <c r="C287" s="12" t="s">
        <v>114</v>
      </c>
      <c r="D287" s="11" t="s">
        <v>17</v>
      </c>
      <c r="E287" s="10" t="str">
        <f>IF(D287="","",VLOOKUP(D287,TemplateCode!$A$2:$C$999,2,FALSE))</f>
        <v>1440</v>
      </c>
      <c r="F287" s="10" t="str">
        <f>IF(D287="","",VLOOKUP(D287,TemplateCode!$A$2:$C$999,3,FALSE))</f>
        <v>Ngày thường</v>
      </c>
      <c r="G287" s="11" t="s">
        <v>52</v>
      </c>
      <c r="H287" s="10" t="str">
        <f>IF(G287="","",VLOOKUP(G287,TemplateCode!$E$2:$G$700,2,FALSE))</f>
        <v>90000456</v>
      </c>
      <c r="I287" s="10" t="str">
        <f>IF(G287="","",VLOOKUP(G287,TemplateCode!$E$2:$G$700,3,FALSE))</f>
        <v>Ca ngày</v>
      </c>
    </row>
    <row r="288" spans="1:9" ht="15.75">
      <c r="A288" s="15">
        <v>43190126</v>
      </c>
      <c r="B288" s="15" t="s">
        <v>71</v>
      </c>
      <c r="C288" s="12" t="s">
        <v>114</v>
      </c>
      <c r="D288" s="11" t="s">
        <v>17</v>
      </c>
      <c r="E288" s="10" t="str">
        <f>IF(D288="","",VLOOKUP(D288,TemplateCode!$A$2:$C$999,2,FALSE))</f>
        <v>1440</v>
      </c>
      <c r="F288" s="10" t="str">
        <f>IF(D288="","",VLOOKUP(D288,TemplateCode!$A$2:$C$999,3,FALSE))</f>
        <v>Ngày thường</v>
      </c>
      <c r="G288" s="11" t="s">
        <v>52</v>
      </c>
      <c r="H288" s="10" t="str">
        <f>IF(G288="","",VLOOKUP(G288,TemplateCode!$E$2:$G$700,2,FALSE))</f>
        <v>90000456</v>
      </c>
      <c r="I288" s="10" t="str">
        <f>IF(G288="","",VLOOKUP(G288,TemplateCode!$E$2:$G$700,3,FALSE))</f>
        <v>Ca ngày</v>
      </c>
    </row>
    <row r="289" spans="1:9" ht="15.75">
      <c r="A289" s="15">
        <v>43190169</v>
      </c>
      <c r="B289" s="15" t="s">
        <v>72</v>
      </c>
      <c r="C289" s="12" t="s">
        <v>114</v>
      </c>
      <c r="D289" s="11" t="s">
        <v>17</v>
      </c>
      <c r="E289" s="10" t="str">
        <f>IF(D289="","",VLOOKUP(D289,TemplateCode!$A$2:$C$999,2,FALSE))</f>
        <v>1440</v>
      </c>
      <c r="F289" s="10" t="str">
        <f>IF(D289="","",VLOOKUP(D289,TemplateCode!$A$2:$C$999,3,FALSE))</f>
        <v>Ngày thường</v>
      </c>
      <c r="G289" s="11" t="s">
        <v>52</v>
      </c>
      <c r="H289" s="10" t="str">
        <f>IF(G289="","",VLOOKUP(G289,TemplateCode!$E$2:$G$700,2,FALSE))</f>
        <v>90000456</v>
      </c>
      <c r="I289" s="10" t="str">
        <f>IF(G289="","",VLOOKUP(G289,TemplateCode!$E$2:$G$700,3,FALSE))</f>
        <v>Ca ngày</v>
      </c>
    </row>
    <row r="290" spans="1:9" ht="15.75">
      <c r="A290" s="16">
        <v>43190163</v>
      </c>
      <c r="B290" s="17" t="s">
        <v>73</v>
      </c>
      <c r="C290" s="12" t="s">
        <v>114</v>
      </c>
      <c r="D290" s="11" t="s">
        <v>17</v>
      </c>
      <c r="E290" s="10" t="str">
        <f>IF(D290="","",VLOOKUP(D290,TemplateCode!$A$2:$C$999,2,FALSE))</f>
        <v>1440</v>
      </c>
      <c r="F290" s="10" t="str">
        <f>IF(D290="","",VLOOKUP(D290,TemplateCode!$A$2:$C$999,3,FALSE))</f>
        <v>Ngày thường</v>
      </c>
      <c r="G290" s="11" t="s">
        <v>52</v>
      </c>
      <c r="H290" s="10" t="str">
        <f>IF(G290="","",VLOOKUP(G290,TemplateCode!$E$2:$G$700,2,FALSE))</f>
        <v>90000456</v>
      </c>
      <c r="I290" s="10" t="str">
        <f>IF(G290="","",VLOOKUP(G290,TemplateCode!$E$2:$G$700,3,FALSE))</f>
        <v>Ca ngày</v>
      </c>
    </row>
    <row r="291" spans="1:9" ht="15.75">
      <c r="A291" s="19">
        <v>43190435</v>
      </c>
      <c r="B291" s="20" t="s">
        <v>74</v>
      </c>
      <c r="C291" s="12" t="s">
        <v>114</v>
      </c>
      <c r="D291" s="11" t="s">
        <v>17</v>
      </c>
      <c r="E291" s="10" t="str">
        <f>IF(D291="","",VLOOKUP(D291,TemplateCode!$A$2:$C$999,2,FALSE))</f>
        <v>1440</v>
      </c>
      <c r="F291" s="10" t="str">
        <f>IF(D291="","",VLOOKUP(D291,TemplateCode!$A$2:$C$999,3,FALSE))</f>
        <v>Ngày thường</v>
      </c>
      <c r="G291" s="11" t="s">
        <v>52</v>
      </c>
      <c r="H291" s="10" t="str">
        <f>IF(G291="","",VLOOKUP(G291,TemplateCode!$E$2:$G$700,2,FALSE))</f>
        <v>90000456</v>
      </c>
      <c r="I291" s="10" t="str">
        <f>IF(G291="","",VLOOKUP(G291,TemplateCode!$E$2:$G$700,3,FALSE))</f>
        <v>Ca ngày</v>
      </c>
    </row>
    <row r="292" spans="1:9" ht="15.75">
      <c r="A292" s="21">
        <v>43190459</v>
      </c>
      <c r="B292" s="20" t="s">
        <v>75</v>
      </c>
      <c r="C292" s="12" t="s">
        <v>114</v>
      </c>
      <c r="D292" s="11" t="s">
        <v>17</v>
      </c>
      <c r="E292" s="10" t="str">
        <f>IF(D292="","",VLOOKUP(D292,TemplateCode!$A$2:$C$999,2,FALSE))</f>
        <v>1440</v>
      </c>
      <c r="F292" s="10" t="str">
        <f>IF(D292="","",VLOOKUP(D292,TemplateCode!$A$2:$C$999,3,FALSE))</f>
        <v>Ngày thường</v>
      </c>
      <c r="G292" s="11" t="s">
        <v>52</v>
      </c>
      <c r="H292" s="10" t="str">
        <f>IF(G292="","",VLOOKUP(G292,TemplateCode!$E$2:$G$700,2,FALSE))</f>
        <v>90000456</v>
      </c>
      <c r="I292" s="10" t="str">
        <f>IF(G292="","",VLOOKUP(G292,TemplateCode!$E$2:$G$700,3,FALSE))</f>
        <v>Ca ngày</v>
      </c>
    </row>
    <row r="293" spans="1:9" ht="15.75">
      <c r="A293" s="19">
        <v>43190506</v>
      </c>
      <c r="B293" s="20" t="s">
        <v>76</v>
      </c>
      <c r="C293" s="12" t="s">
        <v>114</v>
      </c>
      <c r="D293" s="11" t="s">
        <v>17</v>
      </c>
      <c r="E293" s="10" t="str">
        <f>IF(D293="","",VLOOKUP(D293,TemplateCode!$A$2:$C$999,2,FALSE))</f>
        <v>1440</v>
      </c>
      <c r="F293" s="10" t="str">
        <f>IF(D293="","",VLOOKUP(D293,TemplateCode!$A$2:$C$999,3,FALSE))</f>
        <v>Ngày thường</v>
      </c>
      <c r="G293" s="11" t="s">
        <v>52</v>
      </c>
      <c r="H293" s="10" t="str">
        <f>IF(G293="","",VLOOKUP(G293,TemplateCode!$E$2:$G$700,2,FALSE))</f>
        <v>90000456</v>
      </c>
      <c r="I293" s="10" t="str">
        <f>IF(G293="","",VLOOKUP(G293,TemplateCode!$E$2:$G$700,3,FALSE))</f>
        <v>Ca ngày</v>
      </c>
    </row>
    <row r="294" spans="1:9" ht="15.75">
      <c r="A294" s="22">
        <v>43190785</v>
      </c>
      <c r="B294" s="22" t="s">
        <v>77</v>
      </c>
      <c r="C294" s="12" t="s">
        <v>114</v>
      </c>
      <c r="D294" s="11" t="s">
        <v>17</v>
      </c>
      <c r="E294" s="10" t="str">
        <f>IF(D294="","",VLOOKUP(D294,TemplateCode!$A$2:$C$999,2,FALSE))</f>
        <v>1440</v>
      </c>
      <c r="F294" s="10" t="str">
        <f>IF(D294="","",VLOOKUP(D294,TemplateCode!$A$2:$C$999,3,FALSE))</f>
        <v>Ngày thường</v>
      </c>
      <c r="G294" s="11" t="s">
        <v>52</v>
      </c>
      <c r="H294" s="10" t="str">
        <f>IF(G294="","",VLOOKUP(G294,TemplateCode!$E$2:$G$700,2,FALSE))</f>
        <v>90000456</v>
      </c>
      <c r="I294" s="10" t="str">
        <f>IF(G294="","",VLOOKUP(G294,TemplateCode!$E$2:$G$700,3,FALSE))</f>
        <v>Ca ngày</v>
      </c>
    </row>
    <row r="295" spans="1:9" ht="18.75">
      <c r="A295" s="13">
        <v>43190799</v>
      </c>
      <c r="B295" s="23" t="s">
        <v>78</v>
      </c>
      <c r="C295" s="12" t="s">
        <v>114</v>
      </c>
      <c r="D295" s="11" t="s">
        <v>17</v>
      </c>
      <c r="E295" s="10" t="str">
        <f>IF(D295="","",VLOOKUP(D295,TemplateCode!$A$2:$C$999,2,FALSE))</f>
        <v>1440</v>
      </c>
      <c r="F295" s="10" t="str">
        <f>IF(D295="","",VLOOKUP(D295,TemplateCode!$A$2:$C$999,3,FALSE))</f>
        <v>Ngày thường</v>
      </c>
      <c r="G295" s="11" t="s">
        <v>52</v>
      </c>
      <c r="H295" s="10" t="str">
        <f>IF(G295="","",VLOOKUP(G295,TemplateCode!$E$2:$G$700,2,FALSE))</f>
        <v>90000456</v>
      </c>
      <c r="I295" s="10" t="str">
        <f>IF(G295="","",VLOOKUP(G295,TemplateCode!$E$2:$G$700,3,FALSE))</f>
        <v>Ca ngày</v>
      </c>
    </row>
    <row r="296" spans="1:9" ht="18.75">
      <c r="A296" s="13">
        <v>43190800</v>
      </c>
      <c r="B296" s="23" t="s">
        <v>79</v>
      </c>
      <c r="C296" s="12" t="s">
        <v>114</v>
      </c>
      <c r="D296" s="11" t="s">
        <v>17</v>
      </c>
      <c r="E296" s="10" t="str">
        <f>IF(D296="","",VLOOKUP(D296,TemplateCode!$A$2:$C$999,2,FALSE))</f>
        <v>1440</v>
      </c>
      <c r="F296" s="10" t="str">
        <f>IF(D296="","",VLOOKUP(D296,TemplateCode!$A$2:$C$999,3,FALSE))</f>
        <v>Ngày thường</v>
      </c>
      <c r="G296" s="11" t="s">
        <v>52</v>
      </c>
      <c r="H296" s="10" t="str">
        <f>IF(G296="","",VLOOKUP(G296,TemplateCode!$E$2:$G$700,2,FALSE))</f>
        <v>90000456</v>
      </c>
      <c r="I296" s="10" t="str">
        <f>IF(G296="","",VLOOKUP(G296,TemplateCode!$E$2:$G$700,3,FALSE))</f>
        <v>Ca ngày</v>
      </c>
    </row>
    <row r="297" spans="1:9" ht="15.75">
      <c r="A297" s="24">
        <v>43190817</v>
      </c>
      <c r="B297" s="25" t="s">
        <v>80</v>
      </c>
      <c r="C297" s="12" t="s">
        <v>114</v>
      </c>
      <c r="D297" s="11" t="s">
        <v>17</v>
      </c>
      <c r="E297" s="10" t="str">
        <f>IF(D297="","",VLOOKUP(D297,TemplateCode!$A$2:$C$999,2,FALSE))</f>
        <v>1440</v>
      </c>
      <c r="F297" s="10" t="str">
        <f>IF(D297="","",VLOOKUP(D297,TemplateCode!$A$2:$C$999,3,FALSE))</f>
        <v>Ngày thường</v>
      </c>
      <c r="G297" s="11" t="s">
        <v>52</v>
      </c>
      <c r="H297" s="10" t="str">
        <f>IF(G297="","",VLOOKUP(G297,TemplateCode!$E$2:$G$700,2,FALSE))</f>
        <v>90000456</v>
      </c>
      <c r="I297" s="10" t="str">
        <f>IF(G297="","",VLOOKUP(G297,TemplateCode!$E$2:$G$700,3,FALSE))</f>
        <v>Ca ngày</v>
      </c>
    </row>
    <row r="298" spans="1:9" ht="15.75">
      <c r="A298" s="26">
        <v>43190892</v>
      </c>
      <c r="B298" s="22" t="s">
        <v>81</v>
      </c>
      <c r="C298" s="12" t="s">
        <v>114</v>
      </c>
      <c r="D298" s="11" t="s">
        <v>17</v>
      </c>
      <c r="E298" s="10" t="str">
        <f>IF(D298="","",VLOOKUP(D298,TemplateCode!$A$2:$C$999,2,FALSE))</f>
        <v>1440</v>
      </c>
      <c r="F298" s="10" t="str">
        <f>IF(D298="","",VLOOKUP(D298,TemplateCode!$A$2:$C$999,3,FALSE))</f>
        <v>Ngày thường</v>
      </c>
      <c r="G298" s="11" t="s">
        <v>52</v>
      </c>
      <c r="H298" s="10" t="str">
        <f>IF(G298="","",VLOOKUP(G298,TemplateCode!$E$2:$G$700,2,FALSE))</f>
        <v>90000456</v>
      </c>
      <c r="I298" s="10" t="str">
        <f>IF(G298="","",VLOOKUP(G298,TemplateCode!$E$2:$G$700,3,FALSE))</f>
        <v>Ca ngày</v>
      </c>
    </row>
    <row r="299" spans="1:9" ht="15.75">
      <c r="A299" s="26">
        <v>43190893</v>
      </c>
      <c r="B299" s="22" t="s">
        <v>82</v>
      </c>
      <c r="C299" s="12" t="s">
        <v>114</v>
      </c>
      <c r="D299" s="11" t="s">
        <v>17</v>
      </c>
      <c r="E299" s="10" t="str">
        <f>IF(D299="","",VLOOKUP(D299,TemplateCode!$A$2:$C$999,2,FALSE))</f>
        <v>1440</v>
      </c>
      <c r="F299" s="10" t="str">
        <f>IF(D299="","",VLOOKUP(D299,TemplateCode!$A$2:$C$999,3,FALSE))</f>
        <v>Ngày thường</v>
      </c>
      <c r="G299" s="11" t="s">
        <v>52</v>
      </c>
      <c r="H299" s="10" t="str">
        <f>IF(G299="","",VLOOKUP(G299,TemplateCode!$E$2:$G$700,2,FALSE))</f>
        <v>90000456</v>
      </c>
      <c r="I299" s="10" t="str">
        <f>IF(G299="","",VLOOKUP(G299,TemplateCode!$E$2:$G$700,3,FALSE))</f>
        <v>Ca ngày</v>
      </c>
    </row>
    <row r="300" spans="1:9" ht="15.75">
      <c r="A300" s="27">
        <v>43190244</v>
      </c>
      <c r="B300" s="28" t="s">
        <v>84</v>
      </c>
      <c r="C300" s="29" t="s">
        <v>114</v>
      </c>
      <c r="D300" s="30" t="s">
        <v>17</v>
      </c>
      <c r="E300" s="31" t="str">
        <f>IF(D300="","",VLOOKUP(D300,TemplateCode!$A$2:$C$999,2,FALSE))</f>
        <v>1440</v>
      </c>
      <c r="F300" s="31" t="str">
        <f>IF(D300="","",VLOOKUP(D300,TemplateCode!$A$2:$C$999,3,FALSE))</f>
        <v>Ngày thường</v>
      </c>
      <c r="G300" s="30" t="s">
        <v>31</v>
      </c>
      <c r="H300" s="31" t="str">
        <f>IF(G300="","",VLOOKUP(G300,TemplateCode!$E$2:$G$700,2,FALSE))</f>
        <v>14015595</v>
      </c>
      <c r="I300" s="31" t="str">
        <f>IF(G300="","",VLOOKUP(G300,TemplateCode!$E$2:$G$700,3,FALSE))</f>
        <v>Ca đêm</v>
      </c>
    </row>
    <row r="301" spans="1:9" ht="15.75">
      <c r="A301" s="32">
        <v>43190464</v>
      </c>
      <c r="B301" s="33" t="s">
        <v>85</v>
      </c>
      <c r="C301" s="29" t="s">
        <v>114</v>
      </c>
      <c r="D301" s="30" t="s">
        <v>17</v>
      </c>
      <c r="E301" s="31" t="str">
        <f>IF(D301="","",VLOOKUP(D301,TemplateCode!$A$2:$C$999,2,FALSE))</f>
        <v>1440</v>
      </c>
      <c r="F301" s="31" t="str">
        <f>IF(D301="","",VLOOKUP(D301,TemplateCode!$A$2:$C$999,3,FALSE))</f>
        <v>Ngày thường</v>
      </c>
      <c r="G301" s="30" t="s">
        <v>31</v>
      </c>
      <c r="H301" s="31" t="str">
        <f>IF(G301="","",VLOOKUP(G301,TemplateCode!$E$2:$G$700,2,FALSE))</f>
        <v>14015595</v>
      </c>
      <c r="I301" s="31" t="str">
        <f>IF(G301="","",VLOOKUP(G301,TemplateCode!$E$2:$G$700,3,FALSE))</f>
        <v>Ca đêm</v>
      </c>
    </row>
    <row r="302" spans="1:9" ht="15.75">
      <c r="A302" s="34">
        <v>43180875</v>
      </c>
      <c r="B302" s="34" t="s">
        <v>86</v>
      </c>
      <c r="C302" s="29" t="s">
        <v>114</v>
      </c>
      <c r="D302" s="30" t="s">
        <v>17</v>
      </c>
      <c r="E302" s="31" t="str">
        <f>IF(D302="","",VLOOKUP(D302,TemplateCode!$A$2:$C$999,2,FALSE))</f>
        <v>1440</v>
      </c>
      <c r="F302" s="31" t="str">
        <f>IF(D302="","",VLOOKUP(D302,TemplateCode!$A$2:$C$999,3,FALSE))</f>
        <v>Ngày thường</v>
      </c>
      <c r="G302" s="30" t="s">
        <v>31</v>
      </c>
      <c r="H302" s="31" t="str">
        <f>IF(G302="","",VLOOKUP(G302,TemplateCode!$E$2:$G$700,2,FALSE))</f>
        <v>14015595</v>
      </c>
      <c r="I302" s="31" t="str">
        <f>IF(G302="","",VLOOKUP(G302,TemplateCode!$E$2:$G$700,3,FALSE))</f>
        <v>Ca đêm</v>
      </c>
    </row>
    <row r="303" spans="1:9" ht="15.75">
      <c r="A303" s="34">
        <v>43180879</v>
      </c>
      <c r="B303" s="34" t="s">
        <v>87</v>
      </c>
      <c r="C303" s="29" t="s">
        <v>114</v>
      </c>
      <c r="D303" s="30" t="s">
        <v>17</v>
      </c>
      <c r="E303" s="31" t="str">
        <f>IF(D303="","",VLOOKUP(D303,TemplateCode!$A$2:$C$999,2,FALSE))</f>
        <v>1440</v>
      </c>
      <c r="F303" s="31" t="str">
        <f>IF(D303="","",VLOOKUP(D303,TemplateCode!$A$2:$C$999,3,FALSE))</f>
        <v>Ngày thường</v>
      </c>
      <c r="G303" s="30" t="s">
        <v>31</v>
      </c>
      <c r="H303" s="31" t="str">
        <f>IF(G303="","",VLOOKUP(G303,TemplateCode!$E$2:$G$700,2,FALSE))</f>
        <v>14015595</v>
      </c>
      <c r="I303" s="31" t="str">
        <f>IF(G303="","",VLOOKUP(G303,TemplateCode!$E$2:$G$700,3,FALSE))</f>
        <v>Ca đêm</v>
      </c>
    </row>
    <row r="304" spans="1:9" ht="15.75">
      <c r="A304" s="27">
        <v>43181074</v>
      </c>
      <c r="B304" s="34" t="s">
        <v>88</v>
      </c>
      <c r="C304" s="29" t="s">
        <v>114</v>
      </c>
      <c r="D304" s="30" t="s">
        <v>17</v>
      </c>
      <c r="E304" s="31" t="str">
        <f>IF(D304="","",VLOOKUP(D304,TemplateCode!$A$2:$C$999,2,FALSE))</f>
        <v>1440</v>
      </c>
      <c r="F304" s="31" t="str">
        <f>IF(D304="","",VLOOKUP(D304,TemplateCode!$A$2:$C$999,3,FALSE))</f>
        <v>Ngày thường</v>
      </c>
      <c r="G304" s="30" t="s">
        <v>31</v>
      </c>
      <c r="H304" s="31" t="str">
        <f>IF(G304="","",VLOOKUP(G304,TemplateCode!$E$2:$G$700,2,FALSE))</f>
        <v>14015595</v>
      </c>
      <c r="I304" s="31" t="str">
        <f>IF(G304="","",VLOOKUP(G304,TemplateCode!$E$2:$G$700,3,FALSE))</f>
        <v>Ca đêm</v>
      </c>
    </row>
    <row r="305" spans="1:9" ht="15.75">
      <c r="A305" s="35">
        <v>43180750</v>
      </c>
      <c r="B305" s="28" t="s">
        <v>89</v>
      </c>
      <c r="C305" s="29" t="s">
        <v>114</v>
      </c>
      <c r="D305" s="30" t="s">
        <v>17</v>
      </c>
      <c r="E305" s="31" t="str">
        <f>IF(D305="","",VLOOKUP(D305,TemplateCode!$A$2:$C$999,2,FALSE))</f>
        <v>1440</v>
      </c>
      <c r="F305" s="31" t="str">
        <f>IF(D305="","",VLOOKUP(D305,TemplateCode!$A$2:$C$999,3,FALSE))</f>
        <v>Ngày thường</v>
      </c>
      <c r="G305" s="30" t="s">
        <v>31</v>
      </c>
      <c r="H305" s="31" t="str">
        <f>IF(G305="","",VLOOKUP(G305,TemplateCode!$E$2:$G$700,2,FALSE))</f>
        <v>14015595</v>
      </c>
      <c r="I305" s="31" t="str">
        <f>IF(G305="","",VLOOKUP(G305,TemplateCode!$E$2:$G$700,3,FALSE))</f>
        <v>Ca đêm</v>
      </c>
    </row>
    <row r="306" spans="1:9" ht="15.75">
      <c r="A306" s="35">
        <v>43181362</v>
      </c>
      <c r="B306" s="28" t="s">
        <v>90</v>
      </c>
      <c r="C306" s="29" t="s">
        <v>114</v>
      </c>
      <c r="D306" s="30" t="s">
        <v>17</v>
      </c>
      <c r="E306" s="31" t="str">
        <f>IF(D306="","",VLOOKUP(D306,TemplateCode!$A$2:$C$999,2,FALSE))</f>
        <v>1440</v>
      </c>
      <c r="F306" s="31" t="str">
        <f>IF(D306="","",VLOOKUP(D306,TemplateCode!$A$2:$C$999,3,FALSE))</f>
        <v>Ngày thường</v>
      </c>
      <c r="G306" s="30" t="s">
        <v>31</v>
      </c>
      <c r="H306" s="31" t="str">
        <f>IF(G306="","",VLOOKUP(G306,TemplateCode!$E$2:$G$700,2,FALSE))</f>
        <v>14015595</v>
      </c>
      <c r="I306" s="31" t="str">
        <f>IF(G306="","",VLOOKUP(G306,TemplateCode!$E$2:$G$700,3,FALSE))</f>
        <v>Ca đêm</v>
      </c>
    </row>
    <row r="307" spans="1:9" ht="15.75">
      <c r="A307" s="35">
        <v>43181479</v>
      </c>
      <c r="B307" s="28" t="s">
        <v>91</v>
      </c>
      <c r="C307" s="29" t="s">
        <v>114</v>
      </c>
      <c r="D307" s="30" t="s">
        <v>17</v>
      </c>
      <c r="E307" s="31" t="str">
        <f>IF(D307="","",VLOOKUP(D307,TemplateCode!$A$2:$C$999,2,FALSE))</f>
        <v>1440</v>
      </c>
      <c r="F307" s="31" t="str">
        <f>IF(D307="","",VLOOKUP(D307,TemplateCode!$A$2:$C$999,3,FALSE))</f>
        <v>Ngày thường</v>
      </c>
      <c r="G307" s="30" t="s">
        <v>31</v>
      </c>
      <c r="H307" s="31" t="str">
        <f>IF(G307="","",VLOOKUP(G307,TemplateCode!$E$2:$G$700,2,FALSE))</f>
        <v>14015595</v>
      </c>
      <c r="I307" s="31" t="str">
        <f>IF(G307="","",VLOOKUP(G307,TemplateCode!$E$2:$G$700,3,FALSE))</f>
        <v>Ca đêm</v>
      </c>
    </row>
    <row r="308" spans="1:9" ht="15.75">
      <c r="A308" s="35">
        <v>43190068</v>
      </c>
      <c r="B308" s="28" t="s">
        <v>92</v>
      </c>
      <c r="C308" s="29" t="s">
        <v>114</v>
      </c>
      <c r="D308" s="30" t="s">
        <v>17</v>
      </c>
      <c r="E308" s="31" t="str">
        <f>IF(D308="","",VLOOKUP(D308,TemplateCode!$A$2:$C$999,2,FALSE))</f>
        <v>1440</v>
      </c>
      <c r="F308" s="31" t="str">
        <f>IF(D308="","",VLOOKUP(D308,TemplateCode!$A$2:$C$999,3,FALSE))</f>
        <v>Ngày thường</v>
      </c>
      <c r="G308" s="30" t="s">
        <v>31</v>
      </c>
      <c r="H308" s="31" t="str">
        <f>IF(G308="","",VLOOKUP(G308,TemplateCode!$E$2:$G$700,2,FALSE))</f>
        <v>14015595</v>
      </c>
      <c r="I308" s="31" t="str">
        <f>IF(G308="","",VLOOKUP(G308,TemplateCode!$E$2:$G$700,3,FALSE))</f>
        <v>Ca đêm</v>
      </c>
    </row>
    <row r="309" spans="1:9" ht="15.75">
      <c r="A309" s="35">
        <v>43190084</v>
      </c>
      <c r="B309" s="28" t="s">
        <v>93</v>
      </c>
      <c r="C309" s="29" t="s">
        <v>114</v>
      </c>
      <c r="D309" s="30" t="s">
        <v>17</v>
      </c>
      <c r="E309" s="31" t="str">
        <f>IF(D309="","",VLOOKUP(D309,TemplateCode!$A$2:$C$999,2,FALSE))</f>
        <v>1440</v>
      </c>
      <c r="F309" s="31" t="str">
        <f>IF(D309="","",VLOOKUP(D309,TemplateCode!$A$2:$C$999,3,FALSE))</f>
        <v>Ngày thường</v>
      </c>
      <c r="G309" s="30" t="s">
        <v>31</v>
      </c>
      <c r="H309" s="31" t="str">
        <f>IF(G309="","",VLOOKUP(G309,TemplateCode!$E$2:$G$700,2,FALSE))</f>
        <v>14015595</v>
      </c>
      <c r="I309" s="31" t="str">
        <f>IF(G309="","",VLOOKUP(G309,TemplateCode!$E$2:$G$700,3,FALSE))</f>
        <v>Ca đêm</v>
      </c>
    </row>
    <row r="310" spans="1:9" ht="15.75">
      <c r="A310" s="27">
        <v>43190108</v>
      </c>
      <c r="B310" s="28" t="s">
        <v>94</v>
      </c>
      <c r="C310" s="29" t="s">
        <v>114</v>
      </c>
      <c r="D310" s="30" t="s">
        <v>17</v>
      </c>
      <c r="E310" s="31" t="str">
        <f>IF(D310="","",VLOOKUP(D310,TemplateCode!$A$2:$C$999,2,FALSE))</f>
        <v>1440</v>
      </c>
      <c r="F310" s="31" t="str">
        <f>IF(D310="","",VLOOKUP(D310,TemplateCode!$A$2:$C$999,3,FALSE))</f>
        <v>Ngày thường</v>
      </c>
      <c r="G310" s="30" t="s">
        <v>31</v>
      </c>
      <c r="H310" s="31" t="str">
        <f>IF(G310="","",VLOOKUP(G310,TemplateCode!$E$2:$G$700,2,FALSE))</f>
        <v>14015595</v>
      </c>
      <c r="I310" s="31" t="str">
        <f>IF(G310="","",VLOOKUP(G310,TemplateCode!$E$2:$G$700,3,FALSE))</f>
        <v>Ca đêm</v>
      </c>
    </row>
    <row r="311" spans="1:9" ht="15.75">
      <c r="A311" s="34">
        <v>43190107</v>
      </c>
      <c r="B311" s="34" t="s">
        <v>95</v>
      </c>
      <c r="C311" s="29" t="s">
        <v>114</v>
      </c>
      <c r="D311" s="30" t="s">
        <v>17</v>
      </c>
      <c r="E311" s="31" t="str">
        <f>IF(D311="","",VLOOKUP(D311,TemplateCode!$A$2:$C$999,2,FALSE))</f>
        <v>1440</v>
      </c>
      <c r="F311" s="31" t="str">
        <f>IF(D311="","",VLOOKUP(D311,TemplateCode!$A$2:$C$999,3,FALSE))</f>
        <v>Ngày thường</v>
      </c>
      <c r="G311" s="30" t="s">
        <v>31</v>
      </c>
      <c r="H311" s="31" t="str">
        <f>IF(G311="","",VLOOKUP(G311,TemplateCode!$E$2:$G$700,2,FALSE))</f>
        <v>14015595</v>
      </c>
      <c r="I311" s="31" t="str">
        <f>IF(G311="","",VLOOKUP(G311,TemplateCode!$E$2:$G$700,3,FALSE))</f>
        <v>Ca đêm</v>
      </c>
    </row>
    <row r="312" spans="1:9" ht="15.75">
      <c r="A312" s="27">
        <v>43190129</v>
      </c>
      <c r="B312" s="28" t="s">
        <v>96</v>
      </c>
      <c r="C312" s="29" t="s">
        <v>114</v>
      </c>
      <c r="D312" s="30" t="s">
        <v>17</v>
      </c>
      <c r="E312" s="31" t="str">
        <f>IF(D312="","",VLOOKUP(D312,TemplateCode!$A$2:$C$999,2,FALSE))</f>
        <v>1440</v>
      </c>
      <c r="F312" s="31" t="str">
        <f>IF(D312="","",VLOOKUP(D312,TemplateCode!$A$2:$C$999,3,FALSE))</f>
        <v>Ngày thường</v>
      </c>
      <c r="G312" s="30" t="s">
        <v>31</v>
      </c>
      <c r="H312" s="31" t="str">
        <f>IF(G312="","",VLOOKUP(G312,TemplateCode!$E$2:$G$700,2,FALSE))</f>
        <v>14015595</v>
      </c>
      <c r="I312" s="31" t="str">
        <f>IF(G312="","",VLOOKUP(G312,TemplateCode!$E$2:$G$700,3,FALSE))</f>
        <v>Ca đêm</v>
      </c>
    </row>
    <row r="313" spans="1:9" ht="15.75">
      <c r="A313" s="34">
        <v>43190248</v>
      </c>
      <c r="B313" s="34" t="s">
        <v>97</v>
      </c>
      <c r="C313" s="29" t="s">
        <v>114</v>
      </c>
      <c r="D313" s="30" t="s">
        <v>17</v>
      </c>
      <c r="E313" s="31" t="str">
        <f>IF(D313="","",VLOOKUP(D313,TemplateCode!$A$2:$C$999,2,FALSE))</f>
        <v>1440</v>
      </c>
      <c r="F313" s="31" t="str">
        <f>IF(D313="","",VLOOKUP(D313,TemplateCode!$A$2:$C$999,3,FALSE))</f>
        <v>Ngày thường</v>
      </c>
      <c r="G313" s="30" t="s">
        <v>31</v>
      </c>
      <c r="H313" s="31" t="str">
        <f>IF(G313="","",VLOOKUP(G313,TemplateCode!$E$2:$G$700,2,FALSE))</f>
        <v>14015595</v>
      </c>
      <c r="I313" s="31" t="str">
        <f>IF(G313="","",VLOOKUP(G313,TemplateCode!$E$2:$G$700,3,FALSE))</f>
        <v>Ca đêm</v>
      </c>
    </row>
    <row r="314" spans="1:9" ht="15.75">
      <c r="A314" s="34">
        <v>43190251</v>
      </c>
      <c r="B314" s="34" t="s">
        <v>98</v>
      </c>
      <c r="C314" s="29" t="s">
        <v>114</v>
      </c>
      <c r="D314" s="30" t="s">
        <v>17</v>
      </c>
      <c r="E314" s="31" t="str">
        <f>IF(D314="","",VLOOKUP(D314,TemplateCode!$A$2:$C$999,2,FALSE))</f>
        <v>1440</v>
      </c>
      <c r="F314" s="31" t="str">
        <f>IF(D314="","",VLOOKUP(D314,TemplateCode!$A$2:$C$999,3,FALSE))</f>
        <v>Ngày thường</v>
      </c>
      <c r="G314" s="30" t="s">
        <v>31</v>
      </c>
      <c r="H314" s="31" t="str">
        <f>IF(G314="","",VLOOKUP(G314,TemplateCode!$E$2:$G$700,2,FALSE))</f>
        <v>14015595</v>
      </c>
      <c r="I314" s="31" t="str">
        <f>IF(G314="","",VLOOKUP(G314,TemplateCode!$E$2:$G$700,3,FALSE))</f>
        <v>Ca đêm</v>
      </c>
    </row>
    <row r="315" spans="1:9" ht="15.75">
      <c r="A315" s="34">
        <v>43190278</v>
      </c>
      <c r="B315" s="34" t="s">
        <v>99</v>
      </c>
      <c r="C315" s="29" t="s">
        <v>114</v>
      </c>
      <c r="D315" s="30" t="s">
        <v>17</v>
      </c>
      <c r="E315" s="31" t="str">
        <f>IF(D315="","",VLOOKUP(D315,TemplateCode!$A$2:$C$999,2,FALSE))</f>
        <v>1440</v>
      </c>
      <c r="F315" s="31" t="str">
        <f>IF(D315="","",VLOOKUP(D315,TemplateCode!$A$2:$C$999,3,FALSE))</f>
        <v>Ngày thường</v>
      </c>
      <c r="G315" s="30" t="s">
        <v>31</v>
      </c>
      <c r="H315" s="31" t="str">
        <f>IF(G315="","",VLOOKUP(G315,TemplateCode!$E$2:$G$700,2,FALSE))</f>
        <v>14015595</v>
      </c>
      <c r="I315" s="31" t="str">
        <f>IF(G315="","",VLOOKUP(G315,TemplateCode!$E$2:$G$700,3,FALSE))</f>
        <v>Ca đêm</v>
      </c>
    </row>
    <row r="316" spans="1:9" ht="15.75">
      <c r="A316" s="36">
        <v>43190385</v>
      </c>
      <c r="B316" s="33" t="s">
        <v>100</v>
      </c>
      <c r="C316" s="29" t="s">
        <v>114</v>
      </c>
      <c r="D316" s="30" t="s">
        <v>17</v>
      </c>
      <c r="E316" s="31" t="str">
        <f>IF(D316="","",VLOOKUP(D316,TemplateCode!$A$2:$C$999,2,FALSE))</f>
        <v>1440</v>
      </c>
      <c r="F316" s="31" t="str">
        <f>IF(D316="","",VLOOKUP(D316,TemplateCode!$A$2:$C$999,3,FALSE))</f>
        <v>Ngày thường</v>
      </c>
      <c r="G316" s="30" t="s">
        <v>31</v>
      </c>
      <c r="H316" s="31" t="str">
        <f>IF(G316="","",VLOOKUP(G316,TemplateCode!$E$2:$G$700,2,FALSE))</f>
        <v>14015595</v>
      </c>
      <c r="I316" s="31" t="str">
        <f>IF(G316="","",VLOOKUP(G316,TemplateCode!$E$2:$G$700,3,FALSE))</f>
        <v>Ca đêm</v>
      </c>
    </row>
    <row r="317" spans="1:9" ht="15.75">
      <c r="A317" s="36">
        <v>43190389</v>
      </c>
      <c r="B317" s="33" t="s">
        <v>101</v>
      </c>
      <c r="C317" s="29" t="s">
        <v>114</v>
      </c>
      <c r="D317" s="30" t="s">
        <v>17</v>
      </c>
      <c r="E317" s="31" t="str">
        <f>IF(D317="","",VLOOKUP(D317,TemplateCode!$A$2:$C$999,2,FALSE))</f>
        <v>1440</v>
      </c>
      <c r="F317" s="31" t="str">
        <f>IF(D317="","",VLOOKUP(D317,TemplateCode!$A$2:$C$999,3,FALSE))</f>
        <v>Ngày thường</v>
      </c>
      <c r="G317" s="30" t="s">
        <v>31</v>
      </c>
      <c r="H317" s="31" t="str">
        <f>IF(G317="","",VLOOKUP(G317,TemplateCode!$E$2:$G$700,2,FALSE))</f>
        <v>14015595</v>
      </c>
      <c r="I317" s="31" t="str">
        <f>IF(G317="","",VLOOKUP(G317,TemplateCode!$E$2:$G$700,3,FALSE))</f>
        <v>Ca đêm</v>
      </c>
    </row>
    <row r="318" spans="1:9" ht="15.75">
      <c r="A318" s="35">
        <v>43181469</v>
      </c>
      <c r="B318" s="28" t="s">
        <v>102</v>
      </c>
      <c r="C318" s="29" t="s">
        <v>114</v>
      </c>
      <c r="D318" s="30" t="s">
        <v>17</v>
      </c>
      <c r="E318" s="31" t="str">
        <f>IF(D318="","",VLOOKUP(D318,TemplateCode!$A$2:$C$999,2,FALSE))</f>
        <v>1440</v>
      </c>
      <c r="F318" s="31" t="str">
        <f>IF(D318="","",VLOOKUP(D318,TemplateCode!$A$2:$C$999,3,FALSE))</f>
        <v>Ngày thường</v>
      </c>
      <c r="G318" s="30" t="s">
        <v>31</v>
      </c>
      <c r="H318" s="31" t="str">
        <f>IF(G318="","",VLOOKUP(G318,TemplateCode!$E$2:$G$700,2,FALSE))</f>
        <v>14015595</v>
      </c>
      <c r="I318" s="31" t="str">
        <f>IF(G318="","",VLOOKUP(G318,TemplateCode!$E$2:$G$700,3,FALSE))</f>
        <v>Ca đêm</v>
      </c>
    </row>
    <row r="319" spans="1:9" ht="15.75">
      <c r="A319" s="36">
        <v>43190403</v>
      </c>
      <c r="B319" s="33" t="s">
        <v>103</v>
      </c>
      <c r="C319" s="29" t="s">
        <v>114</v>
      </c>
      <c r="D319" s="30" t="s">
        <v>17</v>
      </c>
      <c r="E319" s="31" t="str">
        <f>IF(D319="","",VLOOKUP(D319,TemplateCode!$A$2:$C$999,2,FALSE))</f>
        <v>1440</v>
      </c>
      <c r="F319" s="31" t="str">
        <f>IF(D319="","",VLOOKUP(D319,TemplateCode!$A$2:$C$999,3,FALSE))</f>
        <v>Ngày thường</v>
      </c>
      <c r="G319" s="30" t="s">
        <v>31</v>
      </c>
      <c r="H319" s="31" t="str">
        <f>IF(G319="","",VLOOKUP(G319,TemplateCode!$E$2:$G$700,2,FALSE))</f>
        <v>14015595</v>
      </c>
      <c r="I319" s="31" t="str">
        <f>IF(G319="","",VLOOKUP(G319,TemplateCode!$E$2:$G$700,3,FALSE))</f>
        <v>Ca đêm</v>
      </c>
    </row>
    <row r="320" spans="1:9" ht="15.75">
      <c r="A320" s="34">
        <v>43190018</v>
      </c>
      <c r="B320" s="34" t="s">
        <v>104</v>
      </c>
      <c r="C320" s="29" t="s">
        <v>114</v>
      </c>
      <c r="D320" s="30" t="s">
        <v>17</v>
      </c>
      <c r="E320" s="31" t="str">
        <f>IF(D320="","",VLOOKUP(D320,TemplateCode!$A$2:$C$999,2,FALSE))</f>
        <v>1440</v>
      </c>
      <c r="F320" s="31" t="str">
        <f>IF(D320="","",VLOOKUP(D320,TemplateCode!$A$2:$C$999,3,FALSE))</f>
        <v>Ngày thường</v>
      </c>
      <c r="G320" s="30" t="s">
        <v>31</v>
      </c>
      <c r="H320" s="31" t="str">
        <f>IF(G320="","",VLOOKUP(G320,TemplateCode!$E$2:$G$700,2,FALSE))</f>
        <v>14015595</v>
      </c>
      <c r="I320" s="31" t="str">
        <f>IF(G320="","",VLOOKUP(G320,TemplateCode!$E$2:$G$700,3,FALSE))</f>
        <v>Ca đêm</v>
      </c>
    </row>
    <row r="321" spans="1:9" ht="15.75">
      <c r="A321" s="36">
        <v>43190460</v>
      </c>
      <c r="B321" s="33" t="s">
        <v>105</v>
      </c>
      <c r="C321" s="29" t="s">
        <v>114</v>
      </c>
      <c r="D321" s="30" t="s">
        <v>17</v>
      </c>
      <c r="E321" s="31" t="str">
        <f>IF(D321="","",VLOOKUP(D321,TemplateCode!$A$2:$C$999,2,FALSE))</f>
        <v>1440</v>
      </c>
      <c r="F321" s="31" t="str">
        <f>IF(D321="","",VLOOKUP(D321,TemplateCode!$A$2:$C$999,3,FALSE))</f>
        <v>Ngày thường</v>
      </c>
      <c r="G321" s="30" t="s">
        <v>31</v>
      </c>
      <c r="H321" s="31" t="str">
        <f>IF(G321="","",VLOOKUP(G321,TemplateCode!$E$2:$G$700,2,FALSE))</f>
        <v>14015595</v>
      </c>
      <c r="I321" s="31" t="str">
        <f>IF(G321="","",VLOOKUP(G321,TemplateCode!$E$2:$G$700,3,FALSE))</f>
        <v>Ca đêm</v>
      </c>
    </row>
    <row r="322" spans="1:9" ht="15.75">
      <c r="A322" s="27">
        <v>43181073</v>
      </c>
      <c r="B322" s="34" t="s">
        <v>106</v>
      </c>
      <c r="C322" s="29" t="s">
        <v>114</v>
      </c>
      <c r="D322" s="30" t="s">
        <v>17</v>
      </c>
      <c r="E322" s="31" t="str">
        <f>IF(D322="","",VLOOKUP(D322,TemplateCode!$A$2:$C$999,2,FALSE))</f>
        <v>1440</v>
      </c>
      <c r="F322" s="31" t="str">
        <f>IF(D322="","",VLOOKUP(D322,TemplateCode!$A$2:$C$999,3,FALSE))</f>
        <v>Ngày thường</v>
      </c>
      <c r="G322" s="30" t="s">
        <v>31</v>
      </c>
      <c r="H322" s="31" t="str">
        <f>IF(G322="","",VLOOKUP(G322,TemplateCode!$E$2:$G$700,2,FALSE))</f>
        <v>14015595</v>
      </c>
      <c r="I322" s="31" t="str">
        <f>IF(G322="","",VLOOKUP(G322,TemplateCode!$E$2:$G$700,3,FALSE))</f>
        <v>Ca đêm</v>
      </c>
    </row>
    <row r="323" spans="1:9" ht="15.75">
      <c r="A323" s="34">
        <v>43190445</v>
      </c>
      <c r="B323" s="34" t="s">
        <v>107</v>
      </c>
      <c r="C323" s="29" t="s">
        <v>114</v>
      </c>
      <c r="D323" s="30" t="s">
        <v>17</v>
      </c>
      <c r="E323" s="31" t="str">
        <f>IF(D323="","",VLOOKUP(D323,TemplateCode!$A$2:$C$999,2,FALSE))</f>
        <v>1440</v>
      </c>
      <c r="F323" s="31" t="str">
        <f>IF(D323="","",VLOOKUP(D323,TemplateCode!$A$2:$C$999,3,FALSE))</f>
        <v>Ngày thường</v>
      </c>
      <c r="G323" s="30" t="s">
        <v>31</v>
      </c>
      <c r="H323" s="31" t="str">
        <f>IF(G323="","",VLOOKUP(G323,TemplateCode!$E$2:$G$700,2,FALSE))</f>
        <v>14015595</v>
      </c>
      <c r="I323" s="31" t="str">
        <f>IF(G323="","",VLOOKUP(G323,TemplateCode!$E$2:$G$700,3,FALSE))</f>
        <v>Ca đêm</v>
      </c>
    </row>
    <row r="324" spans="1:9" ht="15.75">
      <c r="A324" s="34">
        <v>43190243</v>
      </c>
      <c r="B324" s="34" t="s">
        <v>108</v>
      </c>
      <c r="C324" s="29" t="s">
        <v>114</v>
      </c>
      <c r="D324" s="30" t="s">
        <v>17</v>
      </c>
      <c r="E324" s="31" t="str">
        <f>IF(D324="","",VLOOKUP(D324,TemplateCode!$A$2:$C$999,2,FALSE))</f>
        <v>1440</v>
      </c>
      <c r="F324" s="31" t="str">
        <f>IF(D324="","",VLOOKUP(D324,TemplateCode!$A$2:$C$999,3,FALSE))</f>
        <v>Ngày thường</v>
      </c>
      <c r="G324" s="30" t="s">
        <v>31</v>
      </c>
      <c r="H324" s="31" t="str">
        <f>IF(G324="","",VLOOKUP(G324,TemplateCode!$E$2:$G$700,2,FALSE))</f>
        <v>14015595</v>
      </c>
      <c r="I324" s="31" t="str">
        <f>IF(G324="","",VLOOKUP(G324,TemplateCode!$E$2:$G$700,3,FALSE))</f>
        <v>Ca đêm</v>
      </c>
    </row>
    <row r="325" spans="1:9" ht="15.75">
      <c r="A325" s="37">
        <v>43190805</v>
      </c>
      <c r="B325" s="37" t="s">
        <v>109</v>
      </c>
      <c r="C325" s="29" t="s">
        <v>114</v>
      </c>
      <c r="D325" s="30" t="s">
        <v>17</v>
      </c>
      <c r="E325" s="31" t="str">
        <f>IF(D325="","",VLOOKUP(D325,TemplateCode!$A$2:$C$999,2,FALSE))</f>
        <v>1440</v>
      </c>
      <c r="F325" s="31" t="str">
        <f>IF(D325="","",VLOOKUP(D325,TemplateCode!$A$2:$C$999,3,FALSE))</f>
        <v>Ngày thường</v>
      </c>
      <c r="G325" s="30" t="s">
        <v>31</v>
      </c>
      <c r="H325" s="31" t="str">
        <f>IF(G325="","",VLOOKUP(G325,TemplateCode!$E$2:$G$700,2,FALSE))</f>
        <v>14015595</v>
      </c>
      <c r="I325" s="31" t="str">
        <f>IF(G325="","",VLOOKUP(G325,TemplateCode!$E$2:$G$700,3,FALSE))</f>
        <v>Ca đêm</v>
      </c>
    </row>
    <row r="326" spans="1:9" ht="15.75">
      <c r="A326" s="14">
        <v>43181429</v>
      </c>
      <c r="B326" s="14" t="s">
        <v>55</v>
      </c>
      <c r="C326" s="12" t="s">
        <v>115</v>
      </c>
      <c r="D326" s="11" t="s">
        <v>17</v>
      </c>
      <c r="E326" s="10" t="str">
        <f>IF(D326="","",VLOOKUP(D326,TemplateCode!$A$2:$C$999,2,FALSE))</f>
        <v>1440</v>
      </c>
      <c r="F326" s="10" t="str">
        <f>IF(D326="","",VLOOKUP(D326,TemplateCode!$A$2:$C$999,3,FALSE))</f>
        <v>Ngày thường</v>
      </c>
      <c r="G326" s="11" t="s">
        <v>52</v>
      </c>
      <c r="H326" s="10" t="str">
        <f>IF(G326="","",VLOOKUP(G326,TemplateCode!$E$2:$G$700,2,FALSE))</f>
        <v>90000456</v>
      </c>
      <c r="I326" s="10" t="str">
        <f>IF(G326="","",VLOOKUP(G326,TemplateCode!$E$2:$G$700,3,FALSE))</f>
        <v>Ca ngày</v>
      </c>
    </row>
    <row r="327" spans="1:9" ht="15.75">
      <c r="A327" s="15">
        <v>43181308</v>
      </c>
      <c r="B327" s="15" t="s">
        <v>56</v>
      </c>
      <c r="C327" s="12" t="s">
        <v>115</v>
      </c>
      <c r="D327" s="11" t="s">
        <v>17</v>
      </c>
      <c r="E327" s="10" t="str">
        <f>IF(D327="","",VLOOKUP(D327,TemplateCode!$A$2:$C$999,2,FALSE))</f>
        <v>1440</v>
      </c>
      <c r="F327" s="10" t="str">
        <f>IF(D327="","",VLOOKUP(D327,TemplateCode!$A$2:$C$999,3,FALSE))</f>
        <v>Ngày thường</v>
      </c>
      <c r="G327" s="11" t="s">
        <v>52</v>
      </c>
      <c r="H327" s="10" t="str">
        <f>IF(G327="","",VLOOKUP(G327,TemplateCode!$E$2:$G$700,2,FALSE))</f>
        <v>90000456</v>
      </c>
      <c r="I327" s="10" t="str">
        <f>IF(G327="","",VLOOKUP(G327,TemplateCode!$E$2:$G$700,3,FALSE))</f>
        <v>Ca ngày</v>
      </c>
    </row>
    <row r="328" spans="1:9" ht="15.75">
      <c r="A328" s="16">
        <v>43181355</v>
      </c>
      <c r="B328" s="17" t="s">
        <v>57</v>
      </c>
      <c r="C328" s="12" t="s">
        <v>115</v>
      </c>
      <c r="D328" s="11" t="s">
        <v>17</v>
      </c>
      <c r="E328" s="10" t="str">
        <f>IF(D328="","",VLOOKUP(D328,TemplateCode!$A$2:$C$999,2,FALSE))</f>
        <v>1440</v>
      </c>
      <c r="F328" s="10" t="str">
        <f>IF(D328="","",VLOOKUP(D328,TemplateCode!$A$2:$C$999,3,FALSE))</f>
        <v>Ngày thường</v>
      </c>
      <c r="G328" s="11" t="s">
        <v>52</v>
      </c>
      <c r="H328" s="10" t="str">
        <f>IF(G328="","",VLOOKUP(G328,TemplateCode!$E$2:$G$700,2,FALSE))</f>
        <v>90000456</v>
      </c>
      <c r="I328" s="10" t="str">
        <f>IF(G328="","",VLOOKUP(G328,TemplateCode!$E$2:$G$700,3,FALSE))</f>
        <v>Ca ngày</v>
      </c>
    </row>
    <row r="329" spans="1:9" ht="15.75">
      <c r="A329" s="15">
        <v>43181462</v>
      </c>
      <c r="B329" s="17" t="s">
        <v>58</v>
      </c>
      <c r="C329" s="12" t="s">
        <v>115</v>
      </c>
      <c r="D329" s="11" t="s">
        <v>17</v>
      </c>
      <c r="E329" s="10" t="str">
        <f>IF(D329="","",VLOOKUP(D329,TemplateCode!$A$2:$C$999,2,FALSE))</f>
        <v>1440</v>
      </c>
      <c r="F329" s="10" t="str">
        <f>IF(D329="","",VLOOKUP(D329,TemplateCode!$A$2:$C$999,3,FALSE))</f>
        <v>Ngày thường</v>
      </c>
      <c r="G329" s="11" t="s">
        <v>52</v>
      </c>
      <c r="H329" s="10" t="str">
        <f>IF(G329="","",VLOOKUP(G329,TemplateCode!$E$2:$G$700,2,FALSE))</f>
        <v>90000456</v>
      </c>
      <c r="I329" s="10" t="str">
        <f>IF(G329="","",VLOOKUP(G329,TemplateCode!$E$2:$G$700,3,FALSE))</f>
        <v>Ca ngày</v>
      </c>
    </row>
    <row r="330" spans="1:9" ht="15.75">
      <c r="A330" s="18">
        <v>43181463</v>
      </c>
      <c r="B330" s="17" t="s">
        <v>59</v>
      </c>
      <c r="C330" s="12" t="s">
        <v>115</v>
      </c>
      <c r="D330" s="11" t="s">
        <v>17</v>
      </c>
      <c r="E330" s="10" t="str">
        <f>IF(D330="","",VLOOKUP(D330,TemplateCode!$A$2:$C$999,2,FALSE))</f>
        <v>1440</v>
      </c>
      <c r="F330" s="10" t="str">
        <f>IF(D330="","",VLOOKUP(D330,TemplateCode!$A$2:$C$999,3,FALSE))</f>
        <v>Ngày thường</v>
      </c>
      <c r="G330" s="11" t="s">
        <v>52</v>
      </c>
      <c r="H330" s="10" t="str">
        <f>IF(G330="","",VLOOKUP(G330,TemplateCode!$E$2:$G$700,2,FALSE))</f>
        <v>90000456</v>
      </c>
      <c r="I330" s="10" t="str">
        <f>IF(G330="","",VLOOKUP(G330,TemplateCode!$E$2:$G$700,3,FALSE))</f>
        <v>Ca ngày</v>
      </c>
    </row>
    <row r="331" spans="1:9" ht="15.75">
      <c r="A331" s="15">
        <v>43181487</v>
      </c>
      <c r="B331" s="15" t="s">
        <v>60</v>
      </c>
      <c r="C331" s="12" t="s">
        <v>115</v>
      </c>
      <c r="D331" s="11" t="s">
        <v>17</v>
      </c>
      <c r="E331" s="10" t="str">
        <f>IF(D331="","",VLOOKUP(D331,TemplateCode!$A$2:$C$999,2,FALSE))</f>
        <v>1440</v>
      </c>
      <c r="F331" s="10" t="str">
        <f>IF(D331="","",VLOOKUP(D331,TemplateCode!$A$2:$C$999,3,FALSE))</f>
        <v>Ngày thường</v>
      </c>
      <c r="G331" s="11" t="s">
        <v>52</v>
      </c>
      <c r="H331" s="10" t="str">
        <f>IF(G331="","",VLOOKUP(G331,TemplateCode!$E$2:$G$700,2,FALSE))</f>
        <v>90000456</v>
      </c>
      <c r="I331" s="10" t="str">
        <f>IF(G331="","",VLOOKUP(G331,TemplateCode!$E$2:$G$700,3,FALSE))</f>
        <v>Ca ngày</v>
      </c>
    </row>
    <row r="332" spans="1:9" ht="15.75">
      <c r="A332" s="15">
        <v>43181490</v>
      </c>
      <c r="B332" s="15" t="s">
        <v>61</v>
      </c>
      <c r="C332" s="12" t="s">
        <v>115</v>
      </c>
      <c r="D332" s="11" t="s">
        <v>17</v>
      </c>
      <c r="E332" s="10" t="str">
        <f>IF(D332="","",VLOOKUP(D332,TemplateCode!$A$2:$C$999,2,FALSE))</f>
        <v>1440</v>
      </c>
      <c r="F332" s="10" t="str">
        <f>IF(D332="","",VLOOKUP(D332,TemplateCode!$A$2:$C$999,3,FALSE))</f>
        <v>Ngày thường</v>
      </c>
      <c r="G332" s="11" t="s">
        <v>52</v>
      </c>
      <c r="H332" s="10" t="str">
        <f>IF(G332="","",VLOOKUP(G332,TemplateCode!$E$2:$G$700,2,FALSE))</f>
        <v>90000456</v>
      </c>
      <c r="I332" s="10" t="str">
        <f>IF(G332="","",VLOOKUP(G332,TemplateCode!$E$2:$G$700,3,FALSE))</f>
        <v>Ca ngày</v>
      </c>
    </row>
    <row r="333" spans="1:9" ht="15.75">
      <c r="A333" s="15">
        <v>43190015</v>
      </c>
      <c r="B333" s="15" t="s">
        <v>62</v>
      </c>
      <c r="C333" s="12" t="s">
        <v>115</v>
      </c>
      <c r="D333" s="11" t="s">
        <v>17</v>
      </c>
      <c r="E333" s="10" t="str">
        <f>IF(D333="","",VLOOKUP(D333,TemplateCode!$A$2:$C$999,2,FALSE))</f>
        <v>1440</v>
      </c>
      <c r="F333" s="10" t="str">
        <f>IF(D333="","",VLOOKUP(D333,TemplateCode!$A$2:$C$999,3,FALSE))</f>
        <v>Ngày thường</v>
      </c>
      <c r="G333" s="11" t="s">
        <v>52</v>
      </c>
      <c r="H333" s="10" t="str">
        <f>IF(G333="","",VLOOKUP(G333,TemplateCode!$E$2:$G$700,2,FALSE))</f>
        <v>90000456</v>
      </c>
      <c r="I333" s="10" t="str">
        <f>IF(G333="","",VLOOKUP(G333,TemplateCode!$E$2:$G$700,3,FALSE))</f>
        <v>Ca ngày</v>
      </c>
    </row>
    <row r="334" spans="1:9" ht="15.75">
      <c r="A334" s="15">
        <v>43190023</v>
      </c>
      <c r="B334" s="15" t="s">
        <v>63</v>
      </c>
      <c r="C334" s="12" t="s">
        <v>115</v>
      </c>
      <c r="D334" s="11" t="s">
        <v>17</v>
      </c>
      <c r="E334" s="10" t="str">
        <f>IF(D334="","",VLOOKUP(D334,TemplateCode!$A$2:$C$999,2,FALSE))</f>
        <v>1440</v>
      </c>
      <c r="F334" s="10" t="str">
        <f>IF(D334="","",VLOOKUP(D334,TemplateCode!$A$2:$C$999,3,FALSE))</f>
        <v>Ngày thường</v>
      </c>
      <c r="G334" s="11" t="s">
        <v>52</v>
      </c>
      <c r="H334" s="10" t="str">
        <f>IF(G334="","",VLOOKUP(G334,TemplateCode!$E$2:$G$700,2,FALSE))</f>
        <v>90000456</v>
      </c>
      <c r="I334" s="10" t="str">
        <f>IF(G334="","",VLOOKUP(G334,TemplateCode!$E$2:$G$700,3,FALSE))</f>
        <v>Ca ngày</v>
      </c>
    </row>
    <row r="335" spans="1:9" ht="15.75">
      <c r="A335" s="15">
        <v>43190030</v>
      </c>
      <c r="B335" s="15" t="s">
        <v>64</v>
      </c>
      <c r="C335" s="12" t="s">
        <v>115</v>
      </c>
      <c r="D335" s="11" t="s">
        <v>17</v>
      </c>
      <c r="E335" s="10" t="str">
        <f>IF(D335="","",VLOOKUP(D335,TemplateCode!$A$2:$C$999,2,FALSE))</f>
        <v>1440</v>
      </c>
      <c r="F335" s="10" t="str">
        <f>IF(D335="","",VLOOKUP(D335,TemplateCode!$A$2:$C$999,3,FALSE))</f>
        <v>Ngày thường</v>
      </c>
      <c r="G335" s="11" t="s">
        <v>52</v>
      </c>
      <c r="H335" s="10" t="str">
        <f>IF(G335="","",VLOOKUP(G335,TemplateCode!$E$2:$G$700,2,FALSE))</f>
        <v>90000456</v>
      </c>
      <c r="I335" s="10" t="str">
        <f>IF(G335="","",VLOOKUP(G335,TemplateCode!$E$2:$G$700,3,FALSE))</f>
        <v>Ca ngày</v>
      </c>
    </row>
    <row r="336" spans="1:9" ht="15.75">
      <c r="A336" s="15">
        <v>43190041</v>
      </c>
      <c r="B336" s="15" t="s">
        <v>65</v>
      </c>
      <c r="C336" s="12" t="s">
        <v>115</v>
      </c>
      <c r="D336" s="11" t="s">
        <v>17</v>
      </c>
      <c r="E336" s="10" t="str">
        <f>IF(D336="","",VLOOKUP(D336,TemplateCode!$A$2:$C$999,2,FALSE))</f>
        <v>1440</v>
      </c>
      <c r="F336" s="10" t="str">
        <f>IF(D336="","",VLOOKUP(D336,TemplateCode!$A$2:$C$999,3,FALSE))</f>
        <v>Ngày thường</v>
      </c>
      <c r="G336" s="11" t="s">
        <v>52</v>
      </c>
      <c r="H336" s="10" t="str">
        <f>IF(G336="","",VLOOKUP(G336,TemplateCode!$E$2:$G$700,2,FALSE))</f>
        <v>90000456</v>
      </c>
      <c r="I336" s="10" t="str">
        <f>IF(G336="","",VLOOKUP(G336,TemplateCode!$E$2:$G$700,3,FALSE))</f>
        <v>Ca ngày</v>
      </c>
    </row>
    <row r="337" spans="1:9" ht="15.75">
      <c r="A337" s="16">
        <v>43190065</v>
      </c>
      <c r="B337" s="15" t="s">
        <v>66</v>
      </c>
      <c r="C337" s="12" t="s">
        <v>115</v>
      </c>
      <c r="D337" s="11" t="s">
        <v>17</v>
      </c>
      <c r="E337" s="10" t="str">
        <f>IF(D337="","",VLOOKUP(D337,TemplateCode!$A$2:$C$999,2,FALSE))</f>
        <v>1440</v>
      </c>
      <c r="F337" s="10" t="str">
        <f>IF(D337="","",VLOOKUP(D337,TemplateCode!$A$2:$C$999,3,FALSE))</f>
        <v>Ngày thường</v>
      </c>
      <c r="G337" s="11" t="s">
        <v>52</v>
      </c>
      <c r="H337" s="10" t="str">
        <f>IF(G337="","",VLOOKUP(G337,TemplateCode!$E$2:$G$700,2,FALSE))</f>
        <v>90000456</v>
      </c>
      <c r="I337" s="10" t="str">
        <f>IF(G337="","",VLOOKUP(G337,TemplateCode!$E$2:$G$700,3,FALSE))</f>
        <v>Ca ngày</v>
      </c>
    </row>
    <row r="338" spans="1:9" ht="15.75">
      <c r="A338" s="16">
        <v>43190105</v>
      </c>
      <c r="B338" s="15" t="s">
        <v>67</v>
      </c>
      <c r="C338" s="12" t="s">
        <v>115</v>
      </c>
      <c r="D338" s="11" t="s">
        <v>17</v>
      </c>
      <c r="E338" s="10" t="str">
        <f>IF(D338="","",VLOOKUP(D338,TemplateCode!$A$2:$C$999,2,FALSE))</f>
        <v>1440</v>
      </c>
      <c r="F338" s="10" t="str">
        <f>IF(D338="","",VLOOKUP(D338,TemplateCode!$A$2:$C$999,3,FALSE))</f>
        <v>Ngày thường</v>
      </c>
      <c r="G338" s="11" t="s">
        <v>52</v>
      </c>
      <c r="H338" s="10" t="str">
        <f>IF(G338="","",VLOOKUP(G338,TemplateCode!$E$2:$G$700,2,FALSE))</f>
        <v>90000456</v>
      </c>
      <c r="I338" s="10" t="str">
        <f>IF(G338="","",VLOOKUP(G338,TemplateCode!$E$2:$G$700,3,FALSE))</f>
        <v>Ca ngày</v>
      </c>
    </row>
    <row r="339" spans="1:9" ht="15.75">
      <c r="A339" s="16">
        <v>43190109</v>
      </c>
      <c r="B339" s="17" t="s">
        <v>68</v>
      </c>
      <c r="C339" s="12" t="s">
        <v>115</v>
      </c>
      <c r="D339" s="11" t="s">
        <v>17</v>
      </c>
      <c r="E339" s="10" t="str">
        <f>IF(D339="","",VLOOKUP(D339,TemplateCode!$A$2:$C$999,2,FALSE))</f>
        <v>1440</v>
      </c>
      <c r="F339" s="10" t="str">
        <f>IF(D339="","",VLOOKUP(D339,TemplateCode!$A$2:$C$999,3,FALSE))</f>
        <v>Ngày thường</v>
      </c>
      <c r="G339" s="11" t="s">
        <v>52</v>
      </c>
      <c r="H339" s="10" t="str">
        <f>IF(G339="","",VLOOKUP(G339,TemplateCode!$E$2:$G$700,2,FALSE))</f>
        <v>90000456</v>
      </c>
      <c r="I339" s="10" t="str">
        <f>IF(G339="","",VLOOKUP(G339,TemplateCode!$E$2:$G$700,3,FALSE))</f>
        <v>Ca ngày</v>
      </c>
    </row>
    <row r="340" spans="1:9" ht="15.75">
      <c r="A340" s="18">
        <v>43190124</v>
      </c>
      <c r="B340" s="17" t="s">
        <v>69</v>
      </c>
      <c r="C340" s="12" t="s">
        <v>115</v>
      </c>
      <c r="D340" s="11" t="s">
        <v>17</v>
      </c>
      <c r="E340" s="10" t="str">
        <f>IF(D340="","",VLOOKUP(D340,TemplateCode!$A$2:$C$999,2,FALSE))</f>
        <v>1440</v>
      </c>
      <c r="F340" s="10" t="str">
        <f>IF(D340="","",VLOOKUP(D340,TemplateCode!$A$2:$C$999,3,FALSE))</f>
        <v>Ngày thường</v>
      </c>
      <c r="G340" s="11" t="s">
        <v>52</v>
      </c>
      <c r="H340" s="10" t="str">
        <f>IF(G340="","",VLOOKUP(G340,TemplateCode!$E$2:$G$700,2,FALSE))</f>
        <v>90000456</v>
      </c>
      <c r="I340" s="10" t="str">
        <f>IF(G340="","",VLOOKUP(G340,TemplateCode!$E$2:$G$700,3,FALSE))</f>
        <v>Ca ngày</v>
      </c>
    </row>
    <row r="341" spans="1:9" ht="15.75">
      <c r="A341" s="15">
        <v>43190125</v>
      </c>
      <c r="B341" s="15" t="s">
        <v>70</v>
      </c>
      <c r="C341" s="12" t="s">
        <v>115</v>
      </c>
      <c r="D341" s="11" t="s">
        <v>17</v>
      </c>
      <c r="E341" s="10" t="str">
        <f>IF(D341="","",VLOOKUP(D341,TemplateCode!$A$2:$C$999,2,FALSE))</f>
        <v>1440</v>
      </c>
      <c r="F341" s="10" t="str">
        <f>IF(D341="","",VLOOKUP(D341,TemplateCode!$A$2:$C$999,3,FALSE))</f>
        <v>Ngày thường</v>
      </c>
      <c r="G341" s="11" t="s">
        <v>52</v>
      </c>
      <c r="H341" s="10" t="str">
        <f>IF(G341="","",VLOOKUP(G341,TemplateCode!$E$2:$G$700,2,FALSE))</f>
        <v>90000456</v>
      </c>
      <c r="I341" s="10" t="str">
        <f>IF(G341="","",VLOOKUP(G341,TemplateCode!$E$2:$G$700,3,FALSE))</f>
        <v>Ca ngày</v>
      </c>
    </row>
    <row r="342" spans="1:9" ht="15.75">
      <c r="A342" s="15">
        <v>43190126</v>
      </c>
      <c r="B342" s="15" t="s">
        <v>71</v>
      </c>
      <c r="C342" s="12" t="s">
        <v>115</v>
      </c>
      <c r="D342" s="11" t="s">
        <v>17</v>
      </c>
      <c r="E342" s="10" t="str">
        <f>IF(D342="","",VLOOKUP(D342,TemplateCode!$A$2:$C$999,2,FALSE))</f>
        <v>1440</v>
      </c>
      <c r="F342" s="10" t="str">
        <f>IF(D342="","",VLOOKUP(D342,TemplateCode!$A$2:$C$999,3,FALSE))</f>
        <v>Ngày thường</v>
      </c>
      <c r="G342" s="11" t="s">
        <v>52</v>
      </c>
      <c r="H342" s="10" t="str">
        <f>IF(G342="","",VLOOKUP(G342,TemplateCode!$E$2:$G$700,2,FALSE))</f>
        <v>90000456</v>
      </c>
      <c r="I342" s="10" t="str">
        <f>IF(G342="","",VLOOKUP(G342,TemplateCode!$E$2:$G$700,3,FALSE))</f>
        <v>Ca ngày</v>
      </c>
    </row>
    <row r="343" spans="1:9" ht="15.75">
      <c r="A343" s="15">
        <v>43190169</v>
      </c>
      <c r="B343" s="15" t="s">
        <v>72</v>
      </c>
      <c r="C343" s="12" t="s">
        <v>115</v>
      </c>
      <c r="D343" s="11" t="s">
        <v>17</v>
      </c>
      <c r="E343" s="10" t="str">
        <f>IF(D343="","",VLOOKUP(D343,TemplateCode!$A$2:$C$999,2,FALSE))</f>
        <v>1440</v>
      </c>
      <c r="F343" s="10" t="str">
        <f>IF(D343="","",VLOOKUP(D343,TemplateCode!$A$2:$C$999,3,FALSE))</f>
        <v>Ngày thường</v>
      </c>
      <c r="G343" s="11" t="s">
        <v>52</v>
      </c>
      <c r="H343" s="10" t="str">
        <f>IF(G343="","",VLOOKUP(G343,TemplateCode!$E$2:$G$700,2,FALSE))</f>
        <v>90000456</v>
      </c>
      <c r="I343" s="10" t="str">
        <f>IF(G343="","",VLOOKUP(G343,TemplateCode!$E$2:$G$700,3,FALSE))</f>
        <v>Ca ngày</v>
      </c>
    </row>
    <row r="344" spans="1:9" ht="15.75">
      <c r="A344" s="16">
        <v>43190163</v>
      </c>
      <c r="B344" s="17" t="s">
        <v>73</v>
      </c>
      <c r="C344" s="12" t="s">
        <v>115</v>
      </c>
      <c r="D344" s="11" t="s">
        <v>17</v>
      </c>
      <c r="E344" s="10" t="str">
        <f>IF(D344="","",VLOOKUP(D344,TemplateCode!$A$2:$C$999,2,FALSE))</f>
        <v>1440</v>
      </c>
      <c r="F344" s="10" t="str">
        <f>IF(D344="","",VLOOKUP(D344,TemplateCode!$A$2:$C$999,3,FALSE))</f>
        <v>Ngày thường</v>
      </c>
      <c r="G344" s="11" t="s">
        <v>52</v>
      </c>
      <c r="H344" s="10" t="str">
        <f>IF(G344="","",VLOOKUP(G344,TemplateCode!$E$2:$G$700,2,FALSE))</f>
        <v>90000456</v>
      </c>
      <c r="I344" s="10" t="str">
        <f>IF(G344="","",VLOOKUP(G344,TemplateCode!$E$2:$G$700,3,FALSE))</f>
        <v>Ca ngày</v>
      </c>
    </row>
    <row r="345" spans="1:9" ht="15.75">
      <c r="A345" s="19">
        <v>43190435</v>
      </c>
      <c r="B345" s="20" t="s">
        <v>74</v>
      </c>
      <c r="C345" s="12" t="s">
        <v>115</v>
      </c>
      <c r="D345" s="11" t="s">
        <v>17</v>
      </c>
      <c r="E345" s="10" t="str">
        <f>IF(D345="","",VLOOKUP(D345,TemplateCode!$A$2:$C$999,2,FALSE))</f>
        <v>1440</v>
      </c>
      <c r="F345" s="10" t="str">
        <f>IF(D345="","",VLOOKUP(D345,TemplateCode!$A$2:$C$999,3,FALSE))</f>
        <v>Ngày thường</v>
      </c>
      <c r="G345" s="11" t="s">
        <v>52</v>
      </c>
      <c r="H345" s="10" t="str">
        <f>IF(G345="","",VLOOKUP(G345,TemplateCode!$E$2:$G$700,2,FALSE))</f>
        <v>90000456</v>
      </c>
      <c r="I345" s="10" t="str">
        <f>IF(G345="","",VLOOKUP(G345,TemplateCode!$E$2:$G$700,3,FALSE))</f>
        <v>Ca ngày</v>
      </c>
    </row>
    <row r="346" spans="1:9" ht="15.75">
      <c r="A346" s="21">
        <v>43190459</v>
      </c>
      <c r="B346" s="20" t="s">
        <v>75</v>
      </c>
      <c r="C346" s="12" t="s">
        <v>115</v>
      </c>
      <c r="D346" s="11" t="s">
        <v>17</v>
      </c>
      <c r="E346" s="10" t="str">
        <f>IF(D346="","",VLOOKUP(D346,TemplateCode!$A$2:$C$999,2,FALSE))</f>
        <v>1440</v>
      </c>
      <c r="F346" s="10" t="str">
        <f>IF(D346="","",VLOOKUP(D346,TemplateCode!$A$2:$C$999,3,FALSE))</f>
        <v>Ngày thường</v>
      </c>
      <c r="G346" s="11" t="s">
        <v>52</v>
      </c>
      <c r="H346" s="10" t="str">
        <f>IF(G346="","",VLOOKUP(G346,TemplateCode!$E$2:$G$700,2,FALSE))</f>
        <v>90000456</v>
      </c>
      <c r="I346" s="10" t="str">
        <f>IF(G346="","",VLOOKUP(G346,TemplateCode!$E$2:$G$700,3,FALSE))</f>
        <v>Ca ngày</v>
      </c>
    </row>
    <row r="347" spans="1:9" ht="15.75">
      <c r="A347" s="19">
        <v>43190506</v>
      </c>
      <c r="B347" s="20" t="s">
        <v>76</v>
      </c>
      <c r="C347" s="12" t="s">
        <v>115</v>
      </c>
      <c r="D347" s="11" t="s">
        <v>17</v>
      </c>
      <c r="E347" s="10" t="str">
        <f>IF(D347="","",VLOOKUP(D347,TemplateCode!$A$2:$C$999,2,FALSE))</f>
        <v>1440</v>
      </c>
      <c r="F347" s="10" t="str">
        <f>IF(D347="","",VLOOKUP(D347,TemplateCode!$A$2:$C$999,3,FALSE))</f>
        <v>Ngày thường</v>
      </c>
      <c r="G347" s="11" t="s">
        <v>52</v>
      </c>
      <c r="H347" s="10" t="str">
        <f>IF(G347="","",VLOOKUP(G347,TemplateCode!$E$2:$G$700,2,FALSE))</f>
        <v>90000456</v>
      </c>
      <c r="I347" s="10" t="str">
        <f>IF(G347="","",VLOOKUP(G347,TemplateCode!$E$2:$G$700,3,FALSE))</f>
        <v>Ca ngày</v>
      </c>
    </row>
    <row r="348" spans="1:9" ht="15.75">
      <c r="A348" s="22">
        <v>43190785</v>
      </c>
      <c r="B348" s="22" t="s">
        <v>77</v>
      </c>
      <c r="C348" s="12" t="s">
        <v>115</v>
      </c>
      <c r="D348" s="11" t="s">
        <v>17</v>
      </c>
      <c r="E348" s="10" t="str">
        <f>IF(D348="","",VLOOKUP(D348,TemplateCode!$A$2:$C$999,2,FALSE))</f>
        <v>1440</v>
      </c>
      <c r="F348" s="10" t="str">
        <f>IF(D348="","",VLOOKUP(D348,TemplateCode!$A$2:$C$999,3,FALSE))</f>
        <v>Ngày thường</v>
      </c>
      <c r="G348" s="11" t="s">
        <v>52</v>
      </c>
      <c r="H348" s="10" t="str">
        <f>IF(G348="","",VLOOKUP(G348,TemplateCode!$E$2:$G$700,2,FALSE))</f>
        <v>90000456</v>
      </c>
      <c r="I348" s="10" t="str">
        <f>IF(G348="","",VLOOKUP(G348,TemplateCode!$E$2:$G$700,3,FALSE))</f>
        <v>Ca ngày</v>
      </c>
    </row>
    <row r="349" spans="1:9" ht="18.75">
      <c r="A349" s="13">
        <v>43190799</v>
      </c>
      <c r="B349" s="23" t="s">
        <v>78</v>
      </c>
      <c r="C349" s="12" t="s">
        <v>115</v>
      </c>
      <c r="D349" s="11" t="s">
        <v>17</v>
      </c>
      <c r="E349" s="10" t="str">
        <f>IF(D349="","",VLOOKUP(D349,TemplateCode!$A$2:$C$999,2,FALSE))</f>
        <v>1440</v>
      </c>
      <c r="F349" s="10" t="str">
        <f>IF(D349="","",VLOOKUP(D349,TemplateCode!$A$2:$C$999,3,FALSE))</f>
        <v>Ngày thường</v>
      </c>
      <c r="G349" s="11" t="s">
        <v>52</v>
      </c>
      <c r="H349" s="10" t="str">
        <f>IF(G349="","",VLOOKUP(G349,TemplateCode!$E$2:$G$700,2,FALSE))</f>
        <v>90000456</v>
      </c>
      <c r="I349" s="10" t="str">
        <f>IF(G349="","",VLOOKUP(G349,TemplateCode!$E$2:$G$700,3,FALSE))</f>
        <v>Ca ngày</v>
      </c>
    </row>
    <row r="350" spans="1:9" ht="18.75">
      <c r="A350" s="13">
        <v>43190800</v>
      </c>
      <c r="B350" s="23" t="s">
        <v>79</v>
      </c>
      <c r="C350" s="12" t="s">
        <v>115</v>
      </c>
      <c r="D350" s="11" t="s">
        <v>17</v>
      </c>
      <c r="E350" s="10" t="str">
        <f>IF(D350="","",VLOOKUP(D350,TemplateCode!$A$2:$C$999,2,FALSE))</f>
        <v>1440</v>
      </c>
      <c r="F350" s="10" t="str">
        <f>IF(D350="","",VLOOKUP(D350,TemplateCode!$A$2:$C$999,3,FALSE))</f>
        <v>Ngày thường</v>
      </c>
      <c r="G350" s="11" t="s">
        <v>52</v>
      </c>
      <c r="H350" s="10" t="str">
        <f>IF(G350="","",VLOOKUP(G350,TemplateCode!$E$2:$G$700,2,FALSE))</f>
        <v>90000456</v>
      </c>
      <c r="I350" s="10" t="str">
        <f>IF(G350="","",VLOOKUP(G350,TemplateCode!$E$2:$G$700,3,FALSE))</f>
        <v>Ca ngày</v>
      </c>
    </row>
    <row r="351" spans="1:9" ht="15.75">
      <c r="A351" s="24">
        <v>43190817</v>
      </c>
      <c r="B351" s="25" t="s">
        <v>80</v>
      </c>
      <c r="C351" s="12" t="s">
        <v>115</v>
      </c>
      <c r="D351" s="11" t="s">
        <v>17</v>
      </c>
      <c r="E351" s="10" t="str">
        <f>IF(D351="","",VLOOKUP(D351,TemplateCode!$A$2:$C$999,2,FALSE))</f>
        <v>1440</v>
      </c>
      <c r="F351" s="10" t="str">
        <f>IF(D351="","",VLOOKUP(D351,TemplateCode!$A$2:$C$999,3,FALSE))</f>
        <v>Ngày thường</v>
      </c>
      <c r="G351" s="11" t="s">
        <v>52</v>
      </c>
      <c r="H351" s="10" t="str">
        <f>IF(G351="","",VLOOKUP(G351,TemplateCode!$E$2:$G$700,2,FALSE))</f>
        <v>90000456</v>
      </c>
      <c r="I351" s="10" t="str">
        <f>IF(G351="","",VLOOKUP(G351,TemplateCode!$E$2:$G$700,3,FALSE))</f>
        <v>Ca ngày</v>
      </c>
    </row>
    <row r="352" spans="1:9" ht="15.75">
      <c r="A352" s="26">
        <v>43190892</v>
      </c>
      <c r="B352" s="22" t="s">
        <v>81</v>
      </c>
      <c r="C352" s="12" t="s">
        <v>115</v>
      </c>
      <c r="D352" s="11" t="s">
        <v>17</v>
      </c>
      <c r="E352" s="10" t="str">
        <f>IF(D352="","",VLOOKUP(D352,TemplateCode!$A$2:$C$999,2,FALSE))</f>
        <v>1440</v>
      </c>
      <c r="F352" s="10" t="str">
        <f>IF(D352="","",VLOOKUP(D352,TemplateCode!$A$2:$C$999,3,FALSE))</f>
        <v>Ngày thường</v>
      </c>
      <c r="G352" s="11" t="s">
        <v>52</v>
      </c>
      <c r="H352" s="10" t="str">
        <f>IF(G352="","",VLOOKUP(G352,TemplateCode!$E$2:$G$700,2,FALSE))</f>
        <v>90000456</v>
      </c>
      <c r="I352" s="10" t="str">
        <f>IF(G352="","",VLOOKUP(G352,TemplateCode!$E$2:$G$700,3,FALSE))</f>
        <v>Ca ngày</v>
      </c>
    </row>
    <row r="353" spans="1:9" ht="15.75">
      <c r="A353" s="26">
        <v>43190893</v>
      </c>
      <c r="B353" s="22" t="s">
        <v>82</v>
      </c>
      <c r="C353" s="12" t="s">
        <v>115</v>
      </c>
      <c r="D353" s="11" t="s">
        <v>17</v>
      </c>
      <c r="E353" s="10" t="str">
        <f>IF(D353="","",VLOOKUP(D353,TemplateCode!$A$2:$C$999,2,FALSE))</f>
        <v>1440</v>
      </c>
      <c r="F353" s="10" t="str">
        <f>IF(D353="","",VLOOKUP(D353,TemplateCode!$A$2:$C$999,3,FALSE))</f>
        <v>Ngày thường</v>
      </c>
      <c r="G353" s="11" t="s">
        <v>52</v>
      </c>
      <c r="H353" s="10" t="str">
        <f>IF(G353="","",VLOOKUP(G353,TemplateCode!$E$2:$G$700,2,FALSE))</f>
        <v>90000456</v>
      </c>
      <c r="I353" s="10" t="str">
        <f>IF(G353="","",VLOOKUP(G353,TemplateCode!$E$2:$G$700,3,FALSE))</f>
        <v>Ca ngày</v>
      </c>
    </row>
    <row r="354" spans="1:9" ht="15.75">
      <c r="A354" s="27">
        <v>43190244</v>
      </c>
      <c r="B354" s="28" t="s">
        <v>84</v>
      </c>
      <c r="C354" s="29" t="s">
        <v>115</v>
      </c>
      <c r="D354" s="30" t="s">
        <v>17</v>
      </c>
      <c r="E354" s="31" t="str">
        <f>IF(D354="","",VLOOKUP(D354,TemplateCode!$A$2:$C$999,2,FALSE))</f>
        <v>1440</v>
      </c>
      <c r="F354" s="31" t="str">
        <f>IF(D354="","",VLOOKUP(D354,TemplateCode!$A$2:$C$999,3,FALSE))</f>
        <v>Ngày thường</v>
      </c>
      <c r="G354" s="30" t="s">
        <v>31</v>
      </c>
      <c r="H354" s="31" t="str">
        <f>IF(G354="","",VLOOKUP(G354,TemplateCode!$E$2:$G$700,2,FALSE))</f>
        <v>14015595</v>
      </c>
      <c r="I354" s="31" t="str">
        <f>IF(G354="","",VLOOKUP(G354,TemplateCode!$E$2:$G$700,3,FALSE))</f>
        <v>Ca đêm</v>
      </c>
    </row>
    <row r="355" spans="1:9" ht="15.75">
      <c r="A355" s="32">
        <v>43190464</v>
      </c>
      <c r="B355" s="33" t="s">
        <v>85</v>
      </c>
      <c r="C355" s="29" t="s">
        <v>115</v>
      </c>
      <c r="D355" s="30" t="s">
        <v>17</v>
      </c>
      <c r="E355" s="31" t="str">
        <f>IF(D355="","",VLOOKUP(D355,TemplateCode!$A$2:$C$999,2,FALSE))</f>
        <v>1440</v>
      </c>
      <c r="F355" s="31" t="str">
        <f>IF(D355="","",VLOOKUP(D355,TemplateCode!$A$2:$C$999,3,FALSE))</f>
        <v>Ngày thường</v>
      </c>
      <c r="G355" s="30" t="s">
        <v>31</v>
      </c>
      <c r="H355" s="31" t="str">
        <f>IF(G355="","",VLOOKUP(G355,TemplateCode!$E$2:$G$700,2,FALSE))</f>
        <v>14015595</v>
      </c>
      <c r="I355" s="31" t="str">
        <f>IF(G355="","",VLOOKUP(G355,TemplateCode!$E$2:$G$700,3,FALSE))</f>
        <v>Ca đêm</v>
      </c>
    </row>
    <row r="356" spans="1:9" ht="15.75">
      <c r="A356" s="34">
        <v>43180875</v>
      </c>
      <c r="B356" s="34" t="s">
        <v>86</v>
      </c>
      <c r="C356" s="29" t="s">
        <v>115</v>
      </c>
      <c r="D356" s="30" t="s">
        <v>17</v>
      </c>
      <c r="E356" s="31" t="str">
        <f>IF(D356="","",VLOOKUP(D356,TemplateCode!$A$2:$C$999,2,FALSE))</f>
        <v>1440</v>
      </c>
      <c r="F356" s="31" t="str">
        <f>IF(D356="","",VLOOKUP(D356,TemplateCode!$A$2:$C$999,3,FALSE))</f>
        <v>Ngày thường</v>
      </c>
      <c r="G356" s="30" t="s">
        <v>31</v>
      </c>
      <c r="H356" s="31" t="str">
        <f>IF(G356="","",VLOOKUP(G356,TemplateCode!$E$2:$G$700,2,FALSE))</f>
        <v>14015595</v>
      </c>
      <c r="I356" s="31" t="str">
        <f>IF(G356="","",VLOOKUP(G356,TemplateCode!$E$2:$G$700,3,FALSE))</f>
        <v>Ca đêm</v>
      </c>
    </row>
    <row r="357" spans="1:9" ht="15.75">
      <c r="A357" s="34">
        <v>43180879</v>
      </c>
      <c r="B357" s="34" t="s">
        <v>87</v>
      </c>
      <c r="C357" s="29" t="s">
        <v>115</v>
      </c>
      <c r="D357" s="30" t="s">
        <v>17</v>
      </c>
      <c r="E357" s="31" t="str">
        <f>IF(D357="","",VLOOKUP(D357,TemplateCode!$A$2:$C$999,2,FALSE))</f>
        <v>1440</v>
      </c>
      <c r="F357" s="31" t="str">
        <f>IF(D357="","",VLOOKUP(D357,TemplateCode!$A$2:$C$999,3,FALSE))</f>
        <v>Ngày thường</v>
      </c>
      <c r="G357" s="30" t="s">
        <v>31</v>
      </c>
      <c r="H357" s="31" t="str">
        <f>IF(G357="","",VLOOKUP(G357,TemplateCode!$E$2:$G$700,2,FALSE))</f>
        <v>14015595</v>
      </c>
      <c r="I357" s="31" t="str">
        <f>IF(G357="","",VLOOKUP(G357,TemplateCode!$E$2:$G$700,3,FALSE))</f>
        <v>Ca đêm</v>
      </c>
    </row>
    <row r="358" spans="1:9" ht="15.75">
      <c r="A358" s="27">
        <v>43181074</v>
      </c>
      <c r="B358" s="34" t="s">
        <v>88</v>
      </c>
      <c r="C358" s="29" t="s">
        <v>115</v>
      </c>
      <c r="D358" s="30" t="s">
        <v>17</v>
      </c>
      <c r="E358" s="31" t="str">
        <f>IF(D358="","",VLOOKUP(D358,TemplateCode!$A$2:$C$999,2,FALSE))</f>
        <v>1440</v>
      </c>
      <c r="F358" s="31" t="str">
        <f>IF(D358="","",VLOOKUP(D358,TemplateCode!$A$2:$C$999,3,FALSE))</f>
        <v>Ngày thường</v>
      </c>
      <c r="G358" s="30" t="s">
        <v>31</v>
      </c>
      <c r="H358" s="31" t="str">
        <f>IF(G358="","",VLOOKUP(G358,TemplateCode!$E$2:$G$700,2,FALSE))</f>
        <v>14015595</v>
      </c>
      <c r="I358" s="31" t="str">
        <f>IF(G358="","",VLOOKUP(G358,TemplateCode!$E$2:$G$700,3,FALSE))</f>
        <v>Ca đêm</v>
      </c>
    </row>
    <row r="359" spans="1:9" ht="15.75">
      <c r="A359" s="35">
        <v>43180750</v>
      </c>
      <c r="B359" s="28" t="s">
        <v>89</v>
      </c>
      <c r="C359" s="29" t="s">
        <v>115</v>
      </c>
      <c r="D359" s="30" t="s">
        <v>17</v>
      </c>
      <c r="E359" s="31" t="str">
        <f>IF(D359="","",VLOOKUP(D359,TemplateCode!$A$2:$C$999,2,FALSE))</f>
        <v>1440</v>
      </c>
      <c r="F359" s="31" t="str">
        <f>IF(D359="","",VLOOKUP(D359,TemplateCode!$A$2:$C$999,3,FALSE))</f>
        <v>Ngày thường</v>
      </c>
      <c r="G359" s="30" t="s">
        <v>31</v>
      </c>
      <c r="H359" s="31" t="str">
        <f>IF(G359="","",VLOOKUP(G359,TemplateCode!$E$2:$G$700,2,FALSE))</f>
        <v>14015595</v>
      </c>
      <c r="I359" s="31" t="str">
        <f>IF(G359="","",VLOOKUP(G359,TemplateCode!$E$2:$G$700,3,FALSE))</f>
        <v>Ca đêm</v>
      </c>
    </row>
    <row r="360" spans="1:9" ht="15.75">
      <c r="A360" s="35">
        <v>43181362</v>
      </c>
      <c r="B360" s="28" t="s">
        <v>90</v>
      </c>
      <c r="C360" s="29" t="s">
        <v>115</v>
      </c>
      <c r="D360" s="30" t="s">
        <v>17</v>
      </c>
      <c r="E360" s="31" t="str">
        <f>IF(D360="","",VLOOKUP(D360,TemplateCode!$A$2:$C$999,2,FALSE))</f>
        <v>1440</v>
      </c>
      <c r="F360" s="31" t="str">
        <f>IF(D360="","",VLOOKUP(D360,TemplateCode!$A$2:$C$999,3,FALSE))</f>
        <v>Ngày thường</v>
      </c>
      <c r="G360" s="30" t="s">
        <v>31</v>
      </c>
      <c r="H360" s="31" t="str">
        <f>IF(G360="","",VLOOKUP(G360,TemplateCode!$E$2:$G$700,2,FALSE))</f>
        <v>14015595</v>
      </c>
      <c r="I360" s="31" t="str">
        <f>IF(G360="","",VLOOKUP(G360,TemplateCode!$E$2:$G$700,3,FALSE))</f>
        <v>Ca đêm</v>
      </c>
    </row>
    <row r="361" spans="1:9" ht="15.75">
      <c r="A361" s="35">
        <v>43181479</v>
      </c>
      <c r="B361" s="28" t="s">
        <v>91</v>
      </c>
      <c r="C361" s="29" t="s">
        <v>115</v>
      </c>
      <c r="D361" s="30" t="s">
        <v>17</v>
      </c>
      <c r="E361" s="31" t="str">
        <f>IF(D361="","",VLOOKUP(D361,TemplateCode!$A$2:$C$999,2,FALSE))</f>
        <v>1440</v>
      </c>
      <c r="F361" s="31" t="str">
        <f>IF(D361="","",VLOOKUP(D361,TemplateCode!$A$2:$C$999,3,FALSE))</f>
        <v>Ngày thường</v>
      </c>
      <c r="G361" s="30" t="s">
        <v>31</v>
      </c>
      <c r="H361" s="31" t="str">
        <f>IF(G361="","",VLOOKUP(G361,TemplateCode!$E$2:$G$700,2,FALSE))</f>
        <v>14015595</v>
      </c>
      <c r="I361" s="31" t="str">
        <f>IF(G361="","",VLOOKUP(G361,TemplateCode!$E$2:$G$700,3,FALSE))</f>
        <v>Ca đêm</v>
      </c>
    </row>
    <row r="362" spans="1:9" ht="15.75">
      <c r="A362" s="35">
        <v>43190068</v>
      </c>
      <c r="B362" s="28" t="s">
        <v>92</v>
      </c>
      <c r="C362" s="29" t="s">
        <v>115</v>
      </c>
      <c r="D362" s="30" t="s">
        <v>17</v>
      </c>
      <c r="E362" s="31" t="str">
        <f>IF(D362="","",VLOOKUP(D362,TemplateCode!$A$2:$C$999,2,FALSE))</f>
        <v>1440</v>
      </c>
      <c r="F362" s="31" t="str">
        <f>IF(D362="","",VLOOKUP(D362,TemplateCode!$A$2:$C$999,3,FALSE))</f>
        <v>Ngày thường</v>
      </c>
      <c r="G362" s="30" t="s">
        <v>31</v>
      </c>
      <c r="H362" s="31" t="str">
        <f>IF(G362="","",VLOOKUP(G362,TemplateCode!$E$2:$G$700,2,FALSE))</f>
        <v>14015595</v>
      </c>
      <c r="I362" s="31" t="str">
        <f>IF(G362="","",VLOOKUP(G362,TemplateCode!$E$2:$G$700,3,FALSE))</f>
        <v>Ca đêm</v>
      </c>
    </row>
    <row r="363" spans="1:9" ht="15.75">
      <c r="A363" s="35">
        <v>43190084</v>
      </c>
      <c r="B363" s="28" t="s">
        <v>93</v>
      </c>
      <c r="C363" s="29" t="s">
        <v>115</v>
      </c>
      <c r="D363" s="30" t="s">
        <v>17</v>
      </c>
      <c r="E363" s="31" t="str">
        <f>IF(D363="","",VLOOKUP(D363,TemplateCode!$A$2:$C$999,2,FALSE))</f>
        <v>1440</v>
      </c>
      <c r="F363" s="31" t="str">
        <f>IF(D363="","",VLOOKUP(D363,TemplateCode!$A$2:$C$999,3,FALSE))</f>
        <v>Ngày thường</v>
      </c>
      <c r="G363" s="30" t="s">
        <v>31</v>
      </c>
      <c r="H363" s="31" t="str">
        <f>IF(G363="","",VLOOKUP(G363,TemplateCode!$E$2:$G$700,2,FALSE))</f>
        <v>14015595</v>
      </c>
      <c r="I363" s="31" t="str">
        <f>IF(G363="","",VLOOKUP(G363,TemplateCode!$E$2:$G$700,3,FALSE))</f>
        <v>Ca đêm</v>
      </c>
    </row>
    <row r="364" spans="1:9" ht="15.75">
      <c r="A364" s="27">
        <v>43190108</v>
      </c>
      <c r="B364" s="28" t="s">
        <v>94</v>
      </c>
      <c r="C364" s="29" t="s">
        <v>115</v>
      </c>
      <c r="D364" s="30" t="s">
        <v>17</v>
      </c>
      <c r="E364" s="31" t="str">
        <f>IF(D364="","",VLOOKUP(D364,TemplateCode!$A$2:$C$999,2,FALSE))</f>
        <v>1440</v>
      </c>
      <c r="F364" s="31" t="str">
        <f>IF(D364="","",VLOOKUP(D364,TemplateCode!$A$2:$C$999,3,FALSE))</f>
        <v>Ngày thường</v>
      </c>
      <c r="G364" s="30" t="s">
        <v>31</v>
      </c>
      <c r="H364" s="31" t="str">
        <f>IF(G364="","",VLOOKUP(G364,TemplateCode!$E$2:$G$700,2,FALSE))</f>
        <v>14015595</v>
      </c>
      <c r="I364" s="31" t="str">
        <f>IF(G364="","",VLOOKUP(G364,TemplateCode!$E$2:$G$700,3,FALSE))</f>
        <v>Ca đêm</v>
      </c>
    </row>
    <row r="365" spans="1:9" ht="15.75">
      <c r="A365" s="34">
        <v>43190107</v>
      </c>
      <c r="B365" s="34" t="s">
        <v>95</v>
      </c>
      <c r="C365" s="29" t="s">
        <v>115</v>
      </c>
      <c r="D365" s="30" t="s">
        <v>17</v>
      </c>
      <c r="E365" s="31" t="str">
        <f>IF(D365="","",VLOOKUP(D365,TemplateCode!$A$2:$C$999,2,FALSE))</f>
        <v>1440</v>
      </c>
      <c r="F365" s="31" t="str">
        <f>IF(D365="","",VLOOKUP(D365,TemplateCode!$A$2:$C$999,3,FALSE))</f>
        <v>Ngày thường</v>
      </c>
      <c r="G365" s="30" t="s">
        <v>31</v>
      </c>
      <c r="H365" s="31" t="str">
        <f>IF(G365="","",VLOOKUP(G365,TemplateCode!$E$2:$G$700,2,FALSE))</f>
        <v>14015595</v>
      </c>
      <c r="I365" s="31" t="str">
        <f>IF(G365="","",VLOOKUP(G365,TemplateCode!$E$2:$G$700,3,FALSE))</f>
        <v>Ca đêm</v>
      </c>
    </row>
    <row r="366" spans="1:9" ht="15.75">
      <c r="A366" s="27">
        <v>43190129</v>
      </c>
      <c r="B366" s="28" t="s">
        <v>96</v>
      </c>
      <c r="C366" s="29" t="s">
        <v>115</v>
      </c>
      <c r="D366" s="30" t="s">
        <v>17</v>
      </c>
      <c r="E366" s="31" t="str">
        <f>IF(D366="","",VLOOKUP(D366,TemplateCode!$A$2:$C$999,2,FALSE))</f>
        <v>1440</v>
      </c>
      <c r="F366" s="31" t="str">
        <f>IF(D366="","",VLOOKUP(D366,TemplateCode!$A$2:$C$999,3,FALSE))</f>
        <v>Ngày thường</v>
      </c>
      <c r="G366" s="30" t="s">
        <v>31</v>
      </c>
      <c r="H366" s="31" t="str">
        <f>IF(G366="","",VLOOKUP(G366,TemplateCode!$E$2:$G$700,2,FALSE))</f>
        <v>14015595</v>
      </c>
      <c r="I366" s="31" t="str">
        <f>IF(G366="","",VLOOKUP(G366,TemplateCode!$E$2:$G$700,3,FALSE))</f>
        <v>Ca đêm</v>
      </c>
    </row>
    <row r="367" spans="1:9" ht="15.75">
      <c r="A367" s="34">
        <v>43190248</v>
      </c>
      <c r="B367" s="34" t="s">
        <v>97</v>
      </c>
      <c r="C367" s="29" t="s">
        <v>115</v>
      </c>
      <c r="D367" s="30" t="s">
        <v>17</v>
      </c>
      <c r="E367" s="31" t="str">
        <f>IF(D367="","",VLOOKUP(D367,TemplateCode!$A$2:$C$999,2,FALSE))</f>
        <v>1440</v>
      </c>
      <c r="F367" s="31" t="str">
        <f>IF(D367="","",VLOOKUP(D367,TemplateCode!$A$2:$C$999,3,FALSE))</f>
        <v>Ngày thường</v>
      </c>
      <c r="G367" s="30" t="s">
        <v>31</v>
      </c>
      <c r="H367" s="31" t="str">
        <f>IF(G367="","",VLOOKUP(G367,TemplateCode!$E$2:$G$700,2,FALSE))</f>
        <v>14015595</v>
      </c>
      <c r="I367" s="31" t="str">
        <f>IF(G367="","",VLOOKUP(G367,TemplateCode!$E$2:$G$700,3,FALSE))</f>
        <v>Ca đêm</v>
      </c>
    </row>
    <row r="368" spans="1:9" ht="15.75">
      <c r="A368" s="34">
        <v>43190251</v>
      </c>
      <c r="B368" s="34" t="s">
        <v>98</v>
      </c>
      <c r="C368" s="29" t="s">
        <v>115</v>
      </c>
      <c r="D368" s="30" t="s">
        <v>17</v>
      </c>
      <c r="E368" s="31" t="str">
        <f>IF(D368="","",VLOOKUP(D368,TemplateCode!$A$2:$C$999,2,FALSE))</f>
        <v>1440</v>
      </c>
      <c r="F368" s="31" t="str">
        <f>IF(D368="","",VLOOKUP(D368,TemplateCode!$A$2:$C$999,3,FALSE))</f>
        <v>Ngày thường</v>
      </c>
      <c r="G368" s="30" t="s">
        <v>31</v>
      </c>
      <c r="H368" s="31" t="str">
        <f>IF(G368="","",VLOOKUP(G368,TemplateCode!$E$2:$G$700,2,FALSE))</f>
        <v>14015595</v>
      </c>
      <c r="I368" s="31" t="str">
        <f>IF(G368="","",VLOOKUP(G368,TemplateCode!$E$2:$G$700,3,FALSE))</f>
        <v>Ca đêm</v>
      </c>
    </row>
    <row r="369" spans="1:9" ht="15.75">
      <c r="A369" s="34">
        <v>43190278</v>
      </c>
      <c r="B369" s="34" t="s">
        <v>99</v>
      </c>
      <c r="C369" s="29" t="s">
        <v>115</v>
      </c>
      <c r="D369" s="30" t="s">
        <v>17</v>
      </c>
      <c r="E369" s="31" t="str">
        <f>IF(D369="","",VLOOKUP(D369,TemplateCode!$A$2:$C$999,2,FALSE))</f>
        <v>1440</v>
      </c>
      <c r="F369" s="31" t="str">
        <f>IF(D369="","",VLOOKUP(D369,TemplateCode!$A$2:$C$999,3,FALSE))</f>
        <v>Ngày thường</v>
      </c>
      <c r="G369" s="30" t="s">
        <v>31</v>
      </c>
      <c r="H369" s="31" t="str">
        <f>IF(G369="","",VLOOKUP(G369,TemplateCode!$E$2:$G$700,2,FALSE))</f>
        <v>14015595</v>
      </c>
      <c r="I369" s="31" t="str">
        <f>IF(G369="","",VLOOKUP(G369,TemplateCode!$E$2:$G$700,3,FALSE))</f>
        <v>Ca đêm</v>
      </c>
    </row>
    <row r="370" spans="1:9" ht="15.75">
      <c r="A370" s="36">
        <v>43190385</v>
      </c>
      <c r="B370" s="33" t="s">
        <v>100</v>
      </c>
      <c r="C370" s="29" t="s">
        <v>115</v>
      </c>
      <c r="D370" s="30" t="s">
        <v>17</v>
      </c>
      <c r="E370" s="31" t="str">
        <f>IF(D370="","",VLOOKUP(D370,TemplateCode!$A$2:$C$999,2,FALSE))</f>
        <v>1440</v>
      </c>
      <c r="F370" s="31" t="str">
        <f>IF(D370="","",VLOOKUP(D370,TemplateCode!$A$2:$C$999,3,FALSE))</f>
        <v>Ngày thường</v>
      </c>
      <c r="G370" s="30" t="s">
        <v>31</v>
      </c>
      <c r="H370" s="31" t="str">
        <f>IF(G370="","",VLOOKUP(G370,TemplateCode!$E$2:$G$700,2,FALSE))</f>
        <v>14015595</v>
      </c>
      <c r="I370" s="31" t="str">
        <f>IF(G370="","",VLOOKUP(G370,TemplateCode!$E$2:$G$700,3,FALSE))</f>
        <v>Ca đêm</v>
      </c>
    </row>
    <row r="371" spans="1:9" ht="15.75">
      <c r="A371" s="36">
        <v>43190389</v>
      </c>
      <c r="B371" s="33" t="s">
        <v>101</v>
      </c>
      <c r="C371" s="29" t="s">
        <v>115</v>
      </c>
      <c r="D371" s="30" t="s">
        <v>17</v>
      </c>
      <c r="E371" s="31" t="str">
        <f>IF(D371="","",VLOOKUP(D371,TemplateCode!$A$2:$C$999,2,FALSE))</f>
        <v>1440</v>
      </c>
      <c r="F371" s="31" t="str">
        <f>IF(D371="","",VLOOKUP(D371,TemplateCode!$A$2:$C$999,3,FALSE))</f>
        <v>Ngày thường</v>
      </c>
      <c r="G371" s="30" t="s">
        <v>31</v>
      </c>
      <c r="H371" s="31" t="str">
        <f>IF(G371="","",VLOOKUP(G371,TemplateCode!$E$2:$G$700,2,FALSE))</f>
        <v>14015595</v>
      </c>
      <c r="I371" s="31" t="str">
        <f>IF(G371="","",VLOOKUP(G371,TemplateCode!$E$2:$G$700,3,FALSE))</f>
        <v>Ca đêm</v>
      </c>
    </row>
    <row r="372" spans="1:9" ht="15.75">
      <c r="A372" s="35">
        <v>43181469</v>
      </c>
      <c r="B372" s="28" t="s">
        <v>102</v>
      </c>
      <c r="C372" s="29" t="s">
        <v>115</v>
      </c>
      <c r="D372" s="30" t="s">
        <v>17</v>
      </c>
      <c r="E372" s="31" t="str">
        <f>IF(D372="","",VLOOKUP(D372,TemplateCode!$A$2:$C$999,2,FALSE))</f>
        <v>1440</v>
      </c>
      <c r="F372" s="31" t="str">
        <f>IF(D372="","",VLOOKUP(D372,TemplateCode!$A$2:$C$999,3,FALSE))</f>
        <v>Ngày thường</v>
      </c>
      <c r="G372" s="30" t="s">
        <v>31</v>
      </c>
      <c r="H372" s="31" t="str">
        <f>IF(G372="","",VLOOKUP(G372,TemplateCode!$E$2:$G$700,2,FALSE))</f>
        <v>14015595</v>
      </c>
      <c r="I372" s="31" t="str">
        <f>IF(G372="","",VLOOKUP(G372,TemplateCode!$E$2:$G$700,3,FALSE))</f>
        <v>Ca đêm</v>
      </c>
    </row>
    <row r="373" spans="1:9" ht="15.75">
      <c r="A373" s="36">
        <v>43190403</v>
      </c>
      <c r="B373" s="33" t="s">
        <v>103</v>
      </c>
      <c r="C373" s="29" t="s">
        <v>115</v>
      </c>
      <c r="D373" s="30" t="s">
        <v>17</v>
      </c>
      <c r="E373" s="31" t="str">
        <f>IF(D373="","",VLOOKUP(D373,TemplateCode!$A$2:$C$999,2,FALSE))</f>
        <v>1440</v>
      </c>
      <c r="F373" s="31" t="str">
        <f>IF(D373="","",VLOOKUP(D373,TemplateCode!$A$2:$C$999,3,FALSE))</f>
        <v>Ngày thường</v>
      </c>
      <c r="G373" s="30" t="s">
        <v>31</v>
      </c>
      <c r="H373" s="31" t="str">
        <f>IF(G373="","",VLOOKUP(G373,TemplateCode!$E$2:$G$700,2,FALSE))</f>
        <v>14015595</v>
      </c>
      <c r="I373" s="31" t="str">
        <f>IF(G373="","",VLOOKUP(G373,TemplateCode!$E$2:$G$700,3,FALSE))</f>
        <v>Ca đêm</v>
      </c>
    </row>
    <row r="374" spans="1:9" ht="15.75">
      <c r="A374" s="34">
        <v>43190018</v>
      </c>
      <c r="B374" s="34" t="s">
        <v>104</v>
      </c>
      <c r="C374" s="29" t="s">
        <v>115</v>
      </c>
      <c r="D374" s="30" t="s">
        <v>17</v>
      </c>
      <c r="E374" s="31" t="str">
        <f>IF(D374="","",VLOOKUP(D374,TemplateCode!$A$2:$C$999,2,FALSE))</f>
        <v>1440</v>
      </c>
      <c r="F374" s="31" t="str">
        <f>IF(D374="","",VLOOKUP(D374,TemplateCode!$A$2:$C$999,3,FALSE))</f>
        <v>Ngày thường</v>
      </c>
      <c r="G374" s="30" t="s">
        <v>31</v>
      </c>
      <c r="H374" s="31" t="str">
        <f>IF(G374="","",VLOOKUP(G374,TemplateCode!$E$2:$G$700,2,FALSE))</f>
        <v>14015595</v>
      </c>
      <c r="I374" s="31" t="str">
        <f>IF(G374="","",VLOOKUP(G374,TemplateCode!$E$2:$G$700,3,FALSE))</f>
        <v>Ca đêm</v>
      </c>
    </row>
    <row r="375" spans="1:9" ht="15.75">
      <c r="A375" s="36">
        <v>43190460</v>
      </c>
      <c r="B375" s="33" t="s">
        <v>105</v>
      </c>
      <c r="C375" s="29" t="s">
        <v>115</v>
      </c>
      <c r="D375" s="30" t="s">
        <v>17</v>
      </c>
      <c r="E375" s="31" t="str">
        <f>IF(D375="","",VLOOKUP(D375,TemplateCode!$A$2:$C$999,2,FALSE))</f>
        <v>1440</v>
      </c>
      <c r="F375" s="31" t="str">
        <f>IF(D375="","",VLOOKUP(D375,TemplateCode!$A$2:$C$999,3,FALSE))</f>
        <v>Ngày thường</v>
      </c>
      <c r="G375" s="30" t="s">
        <v>31</v>
      </c>
      <c r="H375" s="31" t="str">
        <f>IF(G375="","",VLOOKUP(G375,TemplateCode!$E$2:$G$700,2,FALSE))</f>
        <v>14015595</v>
      </c>
      <c r="I375" s="31" t="str">
        <f>IF(G375="","",VLOOKUP(G375,TemplateCode!$E$2:$G$700,3,FALSE))</f>
        <v>Ca đêm</v>
      </c>
    </row>
    <row r="376" spans="1:9" ht="15.75">
      <c r="A376" s="27">
        <v>43181073</v>
      </c>
      <c r="B376" s="34" t="s">
        <v>106</v>
      </c>
      <c r="C376" s="29" t="s">
        <v>115</v>
      </c>
      <c r="D376" s="30" t="s">
        <v>17</v>
      </c>
      <c r="E376" s="31" t="str">
        <f>IF(D376="","",VLOOKUP(D376,TemplateCode!$A$2:$C$999,2,FALSE))</f>
        <v>1440</v>
      </c>
      <c r="F376" s="31" t="str">
        <f>IF(D376="","",VLOOKUP(D376,TemplateCode!$A$2:$C$999,3,FALSE))</f>
        <v>Ngày thường</v>
      </c>
      <c r="G376" s="30" t="s">
        <v>31</v>
      </c>
      <c r="H376" s="31" t="str">
        <f>IF(G376="","",VLOOKUP(G376,TemplateCode!$E$2:$G$700,2,FALSE))</f>
        <v>14015595</v>
      </c>
      <c r="I376" s="31" t="str">
        <f>IF(G376="","",VLOOKUP(G376,TemplateCode!$E$2:$G$700,3,FALSE))</f>
        <v>Ca đêm</v>
      </c>
    </row>
    <row r="377" spans="1:9" ht="15.75">
      <c r="A377" s="34">
        <v>43190445</v>
      </c>
      <c r="B377" s="34" t="s">
        <v>107</v>
      </c>
      <c r="C377" s="29" t="s">
        <v>115</v>
      </c>
      <c r="D377" s="30" t="s">
        <v>17</v>
      </c>
      <c r="E377" s="31" t="str">
        <f>IF(D377="","",VLOOKUP(D377,TemplateCode!$A$2:$C$999,2,FALSE))</f>
        <v>1440</v>
      </c>
      <c r="F377" s="31" t="str">
        <f>IF(D377="","",VLOOKUP(D377,TemplateCode!$A$2:$C$999,3,FALSE))</f>
        <v>Ngày thường</v>
      </c>
      <c r="G377" s="30" t="s">
        <v>31</v>
      </c>
      <c r="H377" s="31" t="str">
        <f>IF(G377="","",VLOOKUP(G377,TemplateCode!$E$2:$G$700,2,FALSE))</f>
        <v>14015595</v>
      </c>
      <c r="I377" s="31" t="str">
        <f>IF(G377="","",VLOOKUP(G377,TemplateCode!$E$2:$G$700,3,FALSE))</f>
        <v>Ca đêm</v>
      </c>
    </row>
    <row r="378" spans="1:9" ht="15.75">
      <c r="A378" s="34">
        <v>43190243</v>
      </c>
      <c r="B378" s="34" t="s">
        <v>108</v>
      </c>
      <c r="C378" s="29" t="s">
        <v>115</v>
      </c>
      <c r="D378" s="30" t="s">
        <v>17</v>
      </c>
      <c r="E378" s="31" t="str">
        <f>IF(D378="","",VLOOKUP(D378,TemplateCode!$A$2:$C$999,2,FALSE))</f>
        <v>1440</v>
      </c>
      <c r="F378" s="31" t="str">
        <f>IF(D378="","",VLOOKUP(D378,TemplateCode!$A$2:$C$999,3,FALSE))</f>
        <v>Ngày thường</v>
      </c>
      <c r="G378" s="30" t="s">
        <v>31</v>
      </c>
      <c r="H378" s="31" t="str">
        <f>IF(G378="","",VLOOKUP(G378,TemplateCode!$E$2:$G$700,2,FALSE))</f>
        <v>14015595</v>
      </c>
      <c r="I378" s="31" t="str">
        <f>IF(G378="","",VLOOKUP(G378,TemplateCode!$E$2:$G$700,3,FALSE))</f>
        <v>Ca đêm</v>
      </c>
    </row>
    <row r="379" spans="1:9" ht="15.75">
      <c r="A379" s="37">
        <v>43190805</v>
      </c>
      <c r="B379" s="37" t="s">
        <v>109</v>
      </c>
      <c r="C379" s="29" t="s">
        <v>115</v>
      </c>
      <c r="D379" s="30" t="s">
        <v>17</v>
      </c>
      <c r="E379" s="31" t="str">
        <f>IF(D379="","",VLOOKUP(D379,TemplateCode!$A$2:$C$999,2,FALSE))</f>
        <v>1440</v>
      </c>
      <c r="F379" s="31" t="str">
        <f>IF(D379="","",VLOOKUP(D379,TemplateCode!$A$2:$C$999,3,FALSE))</f>
        <v>Ngày thường</v>
      </c>
      <c r="G379" s="30" t="s">
        <v>31</v>
      </c>
      <c r="H379" s="31" t="str">
        <f>IF(G379="","",VLOOKUP(G379,TemplateCode!$E$2:$G$700,2,FALSE))</f>
        <v>14015595</v>
      </c>
      <c r="I379" s="31" t="str">
        <f>IF(G379="","",VLOOKUP(G379,TemplateCode!$E$2:$G$700,3,FALSE))</f>
        <v>Ca đêm</v>
      </c>
    </row>
    <row r="380" spans="1:9" ht="15.75">
      <c r="A380" s="14">
        <v>43181429</v>
      </c>
      <c r="B380" s="14" t="s">
        <v>55</v>
      </c>
      <c r="C380" s="12" t="s">
        <v>116</v>
      </c>
      <c r="D380" s="11" t="s">
        <v>17</v>
      </c>
      <c r="E380" s="10" t="str">
        <f>IF(D380="","",VLOOKUP(D380,TemplateCode!$A$2:$C$999,2,FALSE))</f>
        <v>1440</v>
      </c>
      <c r="F380" s="10" t="str">
        <f>IF(D380="","",VLOOKUP(D380,TemplateCode!$A$2:$C$999,3,FALSE))</f>
        <v>Ngày thường</v>
      </c>
      <c r="G380" s="11" t="s">
        <v>52</v>
      </c>
      <c r="H380" s="10" t="str">
        <f>IF(G380="","",VLOOKUP(G380,TemplateCode!$E$2:$G$700,2,FALSE))</f>
        <v>90000456</v>
      </c>
      <c r="I380" s="10" t="str">
        <f>IF(G380="","",VLOOKUP(G380,TemplateCode!$E$2:$G$700,3,FALSE))</f>
        <v>Ca ngày</v>
      </c>
    </row>
    <row r="381" spans="1:9" ht="15.75">
      <c r="A381" s="15">
        <v>43181308</v>
      </c>
      <c r="B381" s="15" t="s">
        <v>56</v>
      </c>
      <c r="C381" s="12" t="s">
        <v>116</v>
      </c>
      <c r="D381" s="11" t="s">
        <v>17</v>
      </c>
      <c r="E381" s="10" t="str">
        <f>IF(D381="","",VLOOKUP(D381,TemplateCode!$A$2:$C$999,2,FALSE))</f>
        <v>1440</v>
      </c>
      <c r="F381" s="10" t="str">
        <f>IF(D381="","",VLOOKUP(D381,TemplateCode!$A$2:$C$999,3,FALSE))</f>
        <v>Ngày thường</v>
      </c>
      <c r="G381" s="11" t="s">
        <v>52</v>
      </c>
      <c r="H381" s="10" t="str">
        <f>IF(G381="","",VLOOKUP(G381,TemplateCode!$E$2:$G$700,2,FALSE))</f>
        <v>90000456</v>
      </c>
      <c r="I381" s="10" t="str">
        <f>IF(G381="","",VLOOKUP(G381,TemplateCode!$E$2:$G$700,3,FALSE))</f>
        <v>Ca ngày</v>
      </c>
    </row>
    <row r="382" spans="1:9" ht="15.75">
      <c r="A382" s="16">
        <v>43181355</v>
      </c>
      <c r="B382" s="17" t="s">
        <v>57</v>
      </c>
      <c r="C382" s="12" t="s">
        <v>116</v>
      </c>
      <c r="D382" s="11" t="s">
        <v>17</v>
      </c>
      <c r="E382" s="10" t="str">
        <f>IF(D382="","",VLOOKUP(D382,TemplateCode!$A$2:$C$999,2,FALSE))</f>
        <v>1440</v>
      </c>
      <c r="F382" s="10" t="str">
        <f>IF(D382="","",VLOOKUP(D382,TemplateCode!$A$2:$C$999,3,FALSE))</f>
        <v>Ngày thường</v>
      </c>
      <c r="G382" s="11" t="s">
        <v>52</v>
      </c>
      <c r="H382" s="10" t="str">
        <f>IF(G382="","",VLOOKUP(G382,TemplateCode!$E$2:$G$700,2,FALSE))</f>
        <v>90000456</v>
      </c>
      <c r="I382" s="10" t="str">
        <f>IF(G382="","",VLOOKUP(G382,TemplateCode!$E$2:$G$700,3,FALSE))</f>
        <v>Ca ngày</v>
      </c>
    </row>
    <row r="383" spans="1:9" ht="15.75">
      <c r="A383" s="15">
        <v>43181462</v>
      </c>
      <c r="B383" s="17" t="s">
        <v>58</v>
      </c>
      <c r="C383" s="12" t="s">
        <v>116</v>
      </c>
      <c r="D383" s="11" t="s">
        <v>17</v>
      </c>
      <c r="E383" s="10" t="str">
        <f>IF(D383="","",VLOOKUP(D383,TemplateCode!$A$2:$C$999,2,FALSE))</f>
        <v>1440</v>
      </c>
      <c r="F383" s="10" t="str">
        <f>IF(D383="","",VLOOKUP(D383,TemplateCode!$A$2:$C$999,3,FALSE))</f>
        <v>Ngày thường</v>
      </c>
      <c r="G383" s="11" t="s">
        <v>52</v>
      </c>
      <c r="H383" s="10" t="str">
        <f>IF(G383="","",VLOOKUP(G383,TemplateCode!$E$2:$G$700,2,FALSE))</f>
        <v>90000456</v>
      </c>
      <c r="I383" s="10" t="str">
        <f>IF(G383="","",VLOOKUP(G383,TemplateCode!$E$2:$G$700,3,FALSE))</f>
        <v>Ca ngày</v>
      </c>
    </row>
    <row r="384" spans="1:9" ht="15.75">
      <c r="A384" s="18">
        <v>43181463</v>
      </c>
      <c r="B384" s="17" t="s">
        <v>59</v>
      </c>
      <c r="C384" s="12" t="s">
        <v>116</v>
      </c>
      <c r="D384" s="11" t="s">
        <v>17</v>
      </c>
      <c r="E384" s="10" t="str">
        <f>IF(D384="","",VLOOKUP(D384,TemplateCode!$A$2:$C$999,2,FALSE))</f>
        <v>1440</v>
      </c>
      <c r="F384" s="10" t="str">
        <f>IF(D384="","",VLOOKUP(D384,TemplateCode!$A$2:$C$999,3,FALSE))</f>
        <v>Ngày thường</v>
      </c>
      <c r="G384" s="11" t="s">
        <v>52</v>
      </c>
      <c r="H384" s="10" t="str">
        <f>IF(G384="","",VLOOKUP(G384,TemplateCode!$E$2:$G$700,2,FALSE))</f>
        <v>90000456</v>
      </c>
      <c r="I384" s="10" t="str">
        <f>IF(G384="","",VLOOKUP(G384,TemplateCode!$E$2:$G$700,3,FALSE))</f>
        <v>Ca ngày</v>
      </c>
    </row>
    <row r="385" spans="1:9" ht="15.75">
      <c r="A385" s="15">
        <v>43181487</v>
      </c>
      <c r="B385" s="15" t="s">
        <v>60</v>
      </c>
      <c r="C385" s="12" t="s">
        <v>116</v>
      </c>
      <c r="D385" s="11" t="s">
        <v>17</v>
      </c>
      <c r="E385" s="10" t="str">
        <f>IF(D385="","",VLOOKUP(D385,TemplateCode!$A$2:$C$999,2,FALSE))</f>
        <v>1440</v>
      </c>
      <c r="F385" s="10" t="str">
        <f>IF(D385="","",VLOOKUP(D385,TemplateCode!$A$2:$C$999,3,FALSE))</f>
        <v>Ngày thường</v>
      </c>
      <c r="G385" s="11" t="s">
        <v>52</v>
      </c>
      <c r="H385" s="10" t="str">
        <f>IF(G385="","",VLOOKUP(G385,TemplateCode!$E$2:$G$700,2,FALSE))</f>
        <v>90000456</v>
      </c>
      <c r="I385" s="10" t="str">
        <f>IF(G385="","",VLOOKUP(G385,TemplateCode!$E$2:$G$700,3,FALSE))</f>
        <v>Ca ngày</v>
      </c>
    </row>
    <row r="386" spans="1:9" ht="15.75">
      <c r="A386" s="15">
        <v>43181490</v>
      </c>
      <c r="B386" s="15" t="s">
        <v>61</v>
      </c>
      <c r="C386" s="12" t="s">
        <v>116</v>
      </c>
      <c r="D386" s="11" t="s">
        <v>17</v>
      </c>
      <c r="E386" s="10" t="str">
        <f>IF(D386="","",VLOOKUP(D386,TemplateCode!$A$2:$C$999,2,FALSE))</f>
        <v>1440</v>
      </c>
      <c r="F386" s="10" t="str">
        <f>IF(D386="","",VLOOKUP(D386,TemplateCode!$A$2:$C$999,3,FALSE))</f>
        <v>Ngày thường</v>
      </c>
      <c r="G386" s="11" t="s">
        <v>52</v>
      </c>
      <c r="H386" s="10" t="str">
        <f>IF(G386="","",VLOOKUP(G386,TemplateCode!$E$2:$G$700,2,FALSE))</f>
        <v>90000456</v>
      </c>
      <c r="I386" s="10" t="str">
        <f>IF(G386="","",VLOOKUP(G386,TemplateCode!$E$2:$G$700,3,FALSE))</f>
        <v>Ca ngày</v>
      </c>
    </row>
    <row r="387" spans="1:9" ht="15.75">
      <c r="A387" s="15">
        <v>43190015</v>
      </c>
      <c r="B387" s="15" t="s">
        <v>62</v>
      </c>
      <c r="C387" s="12" t="s">
        <v>116</v>
      </c>
      <c r="D387" s="11" t="s">
        <v>17</v>
      </c>
      <c r="E387" s="10" t="str">
        <f>IF(D387="","",VLOOKUP(D387,TemplateCode!$A$2:$C$999,2,FALSE))</f>
        <v>1440</v>
      </c>
      <c r="F387" s="10" t="str">
        <f>IF(D387="","",VLOOKUP(D387,TemplateCode!$A$2:$C$999,3,FALSE))</f>
        <v>Ngày thường</v>
      </c>
      <c r="G387" s="11" t="s">
        <v>52</v>
      </c>
      <c r="H387" s="10" t="str">
        <f>IF(G387="","",VLOOKUP(G387,TemplateCode!$E$2:$G$700,2,FALSE))</f>
        <v>90000456</v>
      </c>
      <c r="I387" s="10" t="str">
        <f>IF(G387="","",VLOOKUP(G387,TemplateCode!$E$2:$G$700,3,FALSE))</f>
        <v>Ca ngày</v>
      </c>
    </row>
    <row r="388" spans="1:9" ht="15.75">
      <c r="A388" s="15">
        <v>43190023</v>
      </c>
      <c r="B388" s="15" t="s">
        <v>63</v>
      </c>
      <c r="C388" s="12" t="s">
        <v>116</v>
      </c>
      <c r="D388" s="11" t="s">
        <v>17</v>
      </c>
      <c r="E388" s="10" t="str">
        <f>IF(D388="","",VLOOKUP(D388,TemplateCode!$A$2:$C$999,2,FALSE))</f>
        <v>1440</v>
      </c>
      <c r="F388" s="10" t="str">
        <f>IF(D388="","",VLOOKUP(D388,TemplateCode!$A$2:$C$999,3,FALSE))</f>
        <v>Ngày thường</v>
      </c>
      <c r="G388" s="11" t="s">
        <v>52</v>
      </c>
      <c r="H388" s="10" t="str">
        <f>IF(G388="","",VLOOKUP(G388,TemplateCode!$E$2:$G$700,2,FALSE))</f>
        <v>90000456</v>
      </c>
      <c r="I388" s="10" t="str">
        <f>IF(G388="","",VLOOKUP(G388,TemplateCode!$E$2:$G$700,3,FALSE))</f>
        <v>Ca ngày</v>
      </c>
    </row>
    <row r="389" spans="1:9" ht="15.75">
      <c r="A389" s="15">
        <v>43190030</v>
      </c>
      <c r="B389" s="15" t="s">
        <v>64</v>
      </c>
      <c r="C389" s="12" t="s">
        <v>116</v>
      </c>
      <c r="D389" s="11" t="s">
        <v>17</v>
      </c>
      <c r="E389" s="10" t="str">
        <f>IF(D389="","",VLOOKUP(D389,TemplateCode!$A$2:$C$999,2,FALSE))</f>
        <v>1440</v>
      </c>
      <c r="F389" s="10" t="str">
        <f>IF(D389="","",VLOOKUP(D389,TemplateCode!$A$2:$C$999,3,FALSE))</f>
        <v>Ngày thường</v>
      </c>
      <c r="G389" s="11" t="s">
        <v>52</v>
      </c>
      <c r="H389" s="10" t="str">
        <f>IF(G389="","",VLOOKUP(G389,TemplateCode!$E$2:$G$700,2,FALSE))</f>
        <v>90000456</v>
      </c>
      <c r="I389" s="10" t="str">
        <f>IF(G389="","",VLOOKUP(G389,TemplateCode!$E$2:$G$700,3,FALSE))</f>
        <v>Ca ngày</v>
      </c>
    </row>
    <row r="390" spans="1:9" ht="15.75">
      <c r="A390" s="15">
        <v>43190041</v>
      </c>
      <c r="B390" s="15" t="s">
        <v>65</v>
      </c>
      <c r="C390" s="12" t="s">
        <v>116</v>
      </c>
      <c r="D390" s="11" t="s">
        <v>17</v>
      </c>
      <c r="E390" s="10" t="str">
        <f>IF(D390="","",VLOOKUP(D390,TemplateCode!$A$2:$C$999,2,FALSE))</f>
        <v>1440</v>
      </c>
      <c r="F390" s="10" t="str">
        <f>IF(D390="","",VLOOKUP(D390,TemplateCode!$A$2:$C$999,3,FALSE))</f>
        <v>Ngày thường</v>
      </c>
      <c r="G390" s="11" t="s">
        <v>52</v>
      </c>
      <c r="H390" s="10" t="str">
        <f>IF(G390="","",VLOOKUP(G390,TemplateCode!$E$2:$G$700,2,FALSE))</f>
        <v>90000456</v>
      </c>
      <c r="I390" s="10" t="str">
        <f>IF(G390="","",VLOOKUP(G390,TemplateCode!$E$2:$G$700,3,FALSE))</f>
        <v>Ca ngày</v>
      </c>
    </row>
    <row r="391" spans="1:9" ht="15.75">
      <c r="A391" s="16">
        <v>43190065</v>
      </c>
      <c r="B391" s="15" t="s">
        <v>66</v>
      </c>
      <c r="C391" s="12" t="s">
        <v>116</v>
      </c>
      <c r="D391" s="11" t="s">
        <v>17</v>
      </c>
      <c r="E391" s="10" t="str">
        <f>IF(D391="","",VLOOKUP(D391,TemplateCode!$A$2:$C$999,2,FALSE))</f>
        <v>1440</v>
      </c>
      <c r="F391" s="10" t="str">
        <f>IF(D391="","",VLOOKUP(D391,TemplateCode!$A$2:$C$999,3,FALSE))</f>
        <v>Ngày thường</v>
      </c>
      <c r="G391" s="11" t="s">
        <v>52</v>
      </c>
      <c r="H391" s="10" t="str">
        <f>IF(G391="","",VLOOKUP(G391,TemplateCode!$E$2:$G$700,2,FALSE))</f>
        <v>90000456</v>
      </c>
      <c r="I391" s="10" t="str">
        <f>IF(G391="","",VLOOKUP(G391,TemplateCode!$E$2:$G$700,3,FALSE))</f>
        <v>Ca ngày</v>
      </c>
    </row>
    <row r="392" spans="1:9" ht="15.75">
      <c r="A392" s="16">
        <v>43190105</v>
      </c>
      <c r="B392" s="15" t="s">
        <v>67</v>
      </c>
      <c r="C392" s="12" t="s">
        <v>116</v>
      </c>
      <c r="D392" s="11" t="s">
        <v>17</v>
      </c>
      <c r="E392" s="10" t="str">
        <f>IF(D392="","",VLOOKUP(D392,TemplateCode!$A$2:$C$999,2,FALSE))</f>
        <v>1440</v>
      </c>
      <c r="F392" s="10" t="str">
        <f>IF(D392="","",VLOOKUP(D392,TemplateCode!$A$2:$C$999,3,FALSE))</f>
        <v>Ngày thường</v>
      </c>
      <c r="G392" s="11" t="s">
        <v>52</v>
      </c>
      <c r="H392" s="10" t="str">
        <f>IF(G392="","",VLOOKUP(G392,TemplateCode!$E$2:$G$700,2,FALSE))</f>
        <v>90000456</v>
      </c>
      <c r="I392" s="10" t="str">
        <f>IF(G392="","",VLOOKUP(G392,TemplateCode!$E$2:$G$700,3,FALSE))</f>
        <v>Ca ngày</v>
      </c>
    </row>
    <row r="393" spans="1:9" ht="15.75">
      <c r="A393" s="16">
        <v>43190109</v>
      </c>
      <c r="B393" s="17" t="s">
        <v>68</v>
      </c>
      <c r="C393" s="12" t="s">
        <v>116</v>
      </c>
      <c r="D393" s="11" t="s">
        <v>17</v>
      </c>
      <c r="E393" s="10" t="str">
        <f>IF(D393="","",VLOOKUP(D393,TemplateCode!$A$2:$C$999,2,FALSE))</f>
        <v>1440</v>
      </c>
      <c r="F393" s="10" t="str">
        <f>IF(D393="","",VLOOKUP(D393,TemplateCode!$A$2:$C$999,3,FALSE))</f>
        <v>Ngày thường</v>
      </c>
      <c r="G393" s="11" t="s">
        <v>52</v>
      </c>
      <c r="H393" s="10" t="str">
        <f>IF(G393="","",VLOOKUP(G393,TemplateCode!$E$2:$G$700,2,FALSE))</f>
        <v>90000456</v>
      </c>
      <c r="I393" s="10" t="str">
        <f>IF(G393="","",VLOOKUP(G393,TemplateCode!$E$2:$G$700,3,FALSE))</f>
        <v>Ca ngày</v>
      </c>
    </row>
    <row r="394" spans="1:9" ht="15.75">
      <c r="A394" s="18">
        <v>43190124</v>
      </c>
      <c r="B394" s="17" t="s">
        <v>69</v>
      </c>
      <c r="C394" s="12" t="s">
        <v>116</v>
      </c>
      <c r="D394" s="11" t="s">
        <v>17</v>
      </c>
      <c r="E394" s="10" t="str">
        <f>IF(D394="","",VLOOKUP(D394,TemplateCode!$A$2:$C$999,2,FALSE))</f>
        <v>1440</v>
      </c>
      <c r="F394" s="10" t="str">
        <f>IF(D394="","",VLOOKUP(D394,TemplateCode!$A$2:$C$999,3,FALSE))</f>
        <v>Ngày thường</v>
      </c>
      <c r="G394" s="11" t="s">
        <v>52</v>
      </c>
      <c r="H394" s="10" t="str">
        <f>IF(G394="","",VLOOKUP(G394,TemplateCode!$E$2:$G$700,2,FALSE))</f>
        <v>90000456</v>
      </c>
      <c r="I394" s="10" t="str">
        <f>IF(G394="","",VLOOKUP(G394,TemplateCode!$E$2:$G$700,3,FALSE))</f>
        <v>Ca ngày</v>
      </c>
    </row>
    <row r="395" spans="1:9" ht="15.75">
      <c r="A395" s="15">
        <v>43190125</v>
      </c>
      <c r="B395" s="15" t="s">
        <v>70</v>
      </c>
      <c r="C395" s="12" t="s">
        <v>116</v>
      </c>
      <c r="D395" s="11" t="s">
        <v>17</v>
      </c>
      <c r="E395" s="10" t="str">
        <f>IF(D395="","",VLOOKUP(D395,TemplateCode!$A$2:$C$999,2,FALSE))</f>
        <v>1440</v>
      </c>
      <c r="F395" s="10" t="str">
        <f>IF(D395="","",VLOOKUP(D395,TemplateCode!$A$2:$C$999,3,FALSE))</f>
        <v>Ngày thường</v>
      </c>
      <c r="G395" s="11" t="s">
        <v>52</v>
      </c>
      <c r="H395" s="10" t="str">
        <f>IF(G395="","",VLOOKUP(G395,TemplateCode!$E$2:$G$700,2,FALSE))</f>
        <v>90000456</v>
      </c>
      <c r="I395" s="10" t="str">
        <f>IF(G395="","",VLOOKUP(G395,TemplateCode!$E$2:$G$700,3,FALSE))</f>
        <v>Ca ngày</v>
      </c>
    </row>
    <row r="396" spans="1:9" ht="15.75">
      <c r="A396" s="15">
        <v>43190126</v>
      </c>
      <c r="B396" s="15" t="s">
        <v>71</v>
      </c>
      <c r="C396" s="12" t="s">
        <v>116</v>
      </c>
      <c r="D396" s="11" t="s">
        <v>17</v>
      </c>
      <c r="E396" s="10" t="str">
        <f>IF(D396="","",VLOOKUP(D396,TemplateCode!$A$2:$C$999,2,FALSE))</f>
        <v>1440</v>
      </c>
      <c r="F396" s="10" t="str">
        <f>IF(D396="","",VLOOKUP(D396,TemplateCode!$A$2:$C$999,3,FALSE))</f>
        <v>Ngày thường</v>
      </c>
      <c r="G396" s="11" t="s">
        <v>52</v>
      </c>
      <c r="H396" s="10" t="str">
        <f>IF(G396="","",VLOOKUP(G396,TemplateCode!$E$2:$G$700,2,FALSE))</f>
        <v>90000456</v>
      </c>
      <c r="I396" s="10" t="str">
        <f>IF(G396="","",VLOOKUP(G396,TemplateCode!$E$2:$G$700,3,FALSE))</f>
        <v>Ca ngày</v>
      </c>
    </row>
    <row r="397" spans="1:9" ht="15.75">
      <c r="A397" s="15">
        <v>43190169</v>
      </c>
      <c r="B397" s="15" t="s">
        <v>72</v>
      </c>
      <c r="C397" s="12" t="s">
        <v>116</v>
      </c>
      <c r="D397" s="11" t="s">
        <v>17</v>
      </c>
      <c r="E397" s="10" t="str">
        <f>IF(D397="","",VLOOKUP(D397,TemplateCode!$A$2:$C$999,2,FALSE))</f>
        <v>1440</v>
      </c>
      <c r="F397" s="10" t="str">
        <f>IF(D397="","",VLOOKUP(D397,TemplateCode!$A$2:$C$999,3,FALSE))</f>
        <v>Ngày thường</v>
      </c>
      <c r="G397" s="11" t="s">
        <v>52</v>
      </c>
      <c r="H397" s="10" t="str">
        <f>IF(G397="","",VLOOKUP(G397,TemplateCode!$E$2:$G$700,2,FALSE))</f>
        <v>90000456</v>
      </c>
      <c r="I397" s="10" t="str">
        <f>IF(G397="","",VLOOKUP(G397,TemplateCode!$E$2:$G$700,3,FALSE))</f>
        <v>Ca ngày</v>
      </c>
    </row>
    <row r="398" spans="1:9" ht="15.75">
      <c r="A398" s="16">
        <v>43190163</v>
      </c>
      <c r="B398" s="17" t="s">
        <v>73</v>
      </c>
      <c r="C398" s="12" t="s">
        <v>116</v>
      </c>
      <c r="D398" s="11" t="s">
        <v>17</v>
      </c>
      <c r="E398" s="10" t="str">
        <f>IF(D398="","",VLOOKUP(D398,TemplateCode!$A$2:$C$999,2,FALSE))</f>
        <v>1440</v>
      </c>
      <c r="F398" s="10" t="str">
        <f>IF(D398="","",VLOOKUP(D398,TemplateCode!$A$2:$C$999,3,FALSE))</f>
        <v>Ngày thường</v>
      </c>
      <c r="G398" s="11" t="s">
        <v>52</v>
      </c>
      <c r="H398" s="10" t="str">
        <f>IF(G398="","",VLOOKUP(G398,TemplateCode!$E$2:$G$700,2,FALSE))</f>
        <v>90000456</v>
      </c>
      <c r="I398" s="10" t="str">
        <f>IF(G398="","",VLOOKUP(G398,TemplateCode!$E$2:$G$700,3,FALSE))</f>
        <v>Ca ngày</v>
      </c>
    </row>
    <row r="399" spans="1:9" ht="15.75">
      <c r="A399" s="19">
        <v>43190435</v>
      </c>
      <c r="B399" s="20" t="s">
        <v>74</v>
      </c>
      <c r="C399" s="12" t="s">
        <v>116</v>
      </c>
      <c r="D399" s="11" t="s">
        <v>17</v>
      </c>
      <c r="E399" s="10" t="str">
        <f>IF(D399="","",VLOOKUP(D399,TemplateCode!$A$2:$C$999,2,FALSE))</f>
        <v>1440</v>
      </c>
      <c r="F399" s="10" t="str">
        <f>IF(D399="","",VLOOKUP(D399,TemplateCode!$A$2:$C$999,3,FALSE))</f>
        <v>Ngày thường</v>
      </c>
      <c r="G399" s="11" t="s">
        <v>52</v>
      </c>
      <c r="H399" s="10" t="str">
        <f>IF(G399="","",VLOOKUP(G399,TemplateCode!$E$2:$G$700,2,FALSE))</f>
        <v>90000456</v>
      </c>
      <c r="I399" s="10" t="str">
        <f>IF(G399="","",VLOOKUP(G399,TemplateCode!$E$2:$G$700,3,FALSE))</f>
        <v>Ca ngày</v>
      </c>
    </row>
    <row r="400" spans="1:9" ht="15.75">
      <c r="A400" s="21">
        <v>43190459</v>
      </c>
      <c r="B400" s="20" t="s">
        <v>75</v>
      </c>
      <c r="C400" s="12" t="s">
        <v>116</v>
      </c>
      <c r="D400" s="11" t="s">
        <v>17</v>
      </c>
      <c r="E400" s="10" t="str">
        <f>IF(D400="","",VLOOKUP(D400,TemplateCode!$A$2:$C$999,2,FALSE))</f>
        <v>1440</v>
      </c>
      <c r="F400" s="10" t="str">
        <f>IF(D400="","",VLOOKUP(D400,TemplateCode!$A$2:$C$999,3,FALSE))</f>
        <v>Ngày thường</v>
      </c>
      <c r="G400" s="11" t="s">
        <v>52</v>
      </c>
      <c r="H400" s="10" t="str">
        <f>IF(G400="","",VLOOKUP(G400,TemplateCode!$E$2:$G$700,2,FALSE))</f>
        <v>90000456</v>
      </c>
      <c r="I400" s="10" t="str">
        <f>IF(G400="","",VLOOKUP(G400,TemplateCode!$E$2:$G$700,3,FALSE))</f>
        <v>Ca ngày</v>
      </c>
    </row>
    <row r="401" spans="1:9" ht="15.75">
      <c r="A401" s="19">
        <v>43190506</v>
      </c>
      <c r="B401" s="20" t="s">
        <v>76</v>
      </c>
      <c r="C401" s="12" t="s">
        <v>116</v>
      </c>
      <c r="D401" s="11" t="s">
        <v>17</v>
      </c>
      <c r="E401" s="10" t="str">
        <f>IF(D401="","",VLOOKUP(D401,TemplateCode!$A$2:$C$999,2,FALSE))</f>
        <v>1440</v>
      </c>
      <c r="F401" s="10" t="str">
        <f>IF(D401="","",VLOOKUP(D401,TemplateCode!$A$2:$C$999,3,FALSE))</f>
        <v>Ngày thường</v>
      </c>
      <c r="G401" s="11" t="s">
        <v>52</v>
      </c>
      <c r="H401" s="10" t="str">
        <f>IF(G401="","",VLOOKUP(G401,TemplateCode!$E$2:$G$700,2,FALSE))</f>
        <v>90000456</v>
      </c>
      <c r="I401" s="10" t="str">
        <f>IF(G401="","",VLOOKUP(G401,TemplateCode!$E$2:$G$700,3,FALSE))</f>
        <v>Ca ngày</v>
      </c>
    </row>
    <row r="402" spans="1:9" ht="15.75">
      <c r="A402" s="22">
        <v>43190785</v>
      </c>
      <c r="B402" s="22" t="s">
        <v>77</v>
      </c>
      <c r="C402" s="12" t="s">
        <v>116</v>
      </c>
      <c r="D402" s="11" t="s">
        <v>17</v>
      </c>
      <c r="E402" s="10" t="str">
        <f>IF(D402="","",VLOOKUP(D402,TemplateCode!$A$2:$C$999,2,FALSE))</f>
        <v>1440</v>
      </c>
      <c r="F402" s="10" t="str">
        <f>IF(D402="","",VLOOKUP(D402,TemplateCode!$A$2:$C$999,3,FALSE))</f>
        <v>Ngày thường</v>
      </c>
      <c r="G402" s="11" t="s">
        <v>52</v>
      </c>
      <c r="H402" s="10" t="str">
        <f>IF(G402="","",VLOOKUP(G402,TemplateCode!$E$2:$G$700,2,FALSE))</f>
        <v>90000456</v>
      </c>
      <c r="I402" s="10" t="str">
        <f>IF(G402="","",VLOOKUP(G402,TemplateCode!$E$2:$G$700,3,FALSE))</f>
        <v>Ca ngày</v>
      </c>
    </row>
    <row r="403" spans="1:9" ht="18.75">
      <c r="A403" s="13">
        <v>43190799</v>
      </c>
      <c r="B403" s="23" t="s">
        <v>78</v>
      </c>
      <c r="C403" s="12" t="s">
        <v>116</v>
      </c>
      <c r="D403" s="11" t="s">
        <v>17</v>
      </c>
      <c r="E403" s="10" t="str">
        <f>IF(D403="","",VLOOKUP(D403,TemplateCode!$A$2:$C$999,2,FALSE))</f>
        <v>1440</v>
      </c>
      <c r="F403" s="10" t="str">
        <f>IF(D403="","",VLOOKUP(D403,TemplateCode!$A$2:$C$999,3,FALSE))</f>
        <v>Ngày thường</v>
      </c>
      <c r="G403" s="11" t="s">
        <v>52</v>
      </c>
      <c r="H403" s="10" t="str">
        <f>IF(G403="","",VLOOKUP(G403,TemplateCode!$E$2:$G$700,2,FALSE))</f>
        <v>90000456</v>
      </c>
      <c r="I403" s="10" t="str">
        <f>IF(G403="","",VLOOKUP(G403,TemplateCode!$E$2:$G$700,3,FALSE))</f>
        <v>Ca ngày</v>
      </c>
    </row>
    <row r="404" spans="1:9" ht="18.75">
      <c r="A404" s="13">
        <v>43190800</v>
      </c>
      <c r="B404" s="23" t="s">
        <v>79</v>
      </c>
      <c r="C404" s="12" t="s">
        <v>116</v>
      </c>
      <c r="D404" s="11" t="s">
        <v>17</v>
      </c>
      <c r="E404" s="10" t="str">
        <f>IF(D404="","",VLOOKUP(D404,TemplateCode!$A$2:$C$999,2,FALSE))</f>
        <v>1440</v>
      </c>
      <c r="F404" s="10" t="str">
        <f>IF(D404="","",VLOOKUP(D404,TemplateCode!$A$2:$C$999,3,FALSE))</f>
        <v>Ngày thường</v>
      </c>
      <c r="G404" s="11" t="s">
        <v>52</v>
      </c>
      <c r="H404" s="10" t="str">
        <f>IF(G404="","",VLOOKUP(G404,TemplateCode!$E$2:$G$700,2,FALSE))</f>
        <v>90000456</v>
      </c>
      <c r="I404" s="10" t="str">
        <f>IF(G404="","",VLOOKUP(G404,TemplateCode!$E$2:$G$700,3,FALSE))</f>
        <v>Ca ngày</v>
      </c>
    </row>
    <row r="405" spans="1:9" ht="15.75">
      <c r="A405" s="24">
        <v>43190817</v>
      </c>
      <c r="B405" s="25" t="s">
        <v>80</v>
      </c>
      <c r="C405" s="12" t="s">
        <v>116</v>
      </c>
      <c r="D405" s="11" t="s">
        <v>17</v>
      </c>
      <c r="E405" s="10" t="str">
        <f>IF(D405="","",VLOOKUP(D405,TemplateCode!$A$2:$C$999,2,FALSE))</f>
        <v>1440</v>
      </c>
      <c r="F405" s="10" t="str">
        <f>IF(D405="","",VLOOKUP(D405,TemplateCode!$A$2:$C$999,3,FALSE))</f>
        <v>Ngày thường</v>
      </c>
      <c r="G405" s="11" t="s">
        <v>52</v>
      </c>
      <c r="H405" s="10" t="str">
        <f>IF(G405="","",VLOOKUP(G405,TemplateCode!$E$2:$G$700,2,FALSE))</f>
        <v>90000456</v>
      </c>
      <c r="I405" s="10" t="str">
        <f>IF(G405="","",VLOOKUP(G405,TemplateCode!$E$2:$G$700,3,FALSE))</f>
        <v>Ca ngày</v>
      </c>
    </row>
    <row r="406" spans="1:9" ht="15.75">
      <c r="A406" s="26">
        <v>43190892</v>
      </c>
      <c r="B406" s="22" t="s">
        <v>81</v>
      </c>
      <c r="C406" s="12" t="s">
        <v>116</v>
      </c>
      <c r="D406" s="11" t="s">
        <v>17</v>
      </c>
      <c r="E406" s="10" t="str">
        <f>IF(D406="","",VLOOKUP(D406,TemplateCode!$A$2:$C$999,2,FALSE))</f>
        <v>1440</v>
      </c>
      <c r="F406" s="10" t="str">
        <f>IF(D406="","",VLOOKUP(D406,TemplateCode!$A$2:$C$999,3,FALSE))</f>
        <v>Ngày thường</v>
      </c>
      <c r="G406" s="11" t="s">
        <v>52</v>
      </c>
      <c r="H406" s="10" t="str">
        <f>IF(G406="","",VLOOKUP(G406,TemplateCode!$E$2:$G$700,2,FALSE))</f>
        <v>90000456</v>
      </c>
      <c r="I406" s="10" t="str">
        <f>IF(G406="","",VLOOKUP(G406,TemplateCode!$E$2:$G$700,3,FALSE))</f>
        <v>Ca ngày</v>
      </c>
    </row>
    <row r="407" spans="1:9" ht="15.75">
      <c r="A407" s="26">
        <v>43190893</v>
      </c>
      <c r="B407" s="22" t="s">
        <v>82</v>
      </c>
      <c r="C407" s="12" t="s">
        <v>116</v>
      </c>
      <c r="D407" s="11" t="s">
        <v>17</v>
      </c>
      <c r="E407" s="10" t="str">
        <f>IF(D407="","",VLOOKUP(D407,TemplateCode!$A$2:$C$999,2,FALSE))</f>
        <v>1440</v>
      </c>
      <c r="F407" s="10" t="str">
        <f>IF(D407="","",VLOOKUP(D407,TemplateCode!$A$2:$C$999,3,FALSE))</f>
        <v>Ngày thường</v>
      </c>
      <c r="G407" s="11" t="s">
        <v>52</v>
      </c>
      <c r="H407" s="10" t="str">
        <f>IF(G407="","",VLOOKUP(G407,TemplateCode!$E$2:$G$700,2,FALSE))</f>
        <v>90000456</v>
      </c>
      <c r="I407" s="10" t="str">
        <f>IF(G407="","",VLOOKUP(G407,TemplateCode!$E$2:$G$700,3,FALSE))</f>
        <v>Ca ngày</v>
      </c>
    </row>
    <row r="408" spans="1:9" ht="15.75">
      <c r="A408" s="27">
        <v>43190244</v>
      </c>
      <c r="B408" s="28" t="s">
        <v>84</v>
      </c>
      <c r="C408" s="29" t="s">
        <v>116</v>
      </c>
      <c r="D408" s="30" t="s">
        <v>17</v>
      </c>
      <c r="E408" s="31" t="str">
        <f>IF(D408="","",VLOOKUP(D408,TemplateCode!$A$2:$C$999,2,FALSE))</f>
        <v>1440</v>
      </c>
      <c r="F408" s="31" t="str">
        <f>IF(D408="","",VLOOKUP(D408,TemplateCode!$A$2:$C$999,3,FALSE))</f>
        <v>Ngày thường</v>
      </c>
      <c r="G408" s="30" t="s">
        <v>31</v>
      </c>
      <c r="H408" s="31" t="str">
        <f>IF(G408="","",VLOOKUP(G408,TemplateCode!$E$2:$G$700,2,FALSE))</f>
        <v>14015595</v>
      </c>
      <c r="I408" s="31" t="str">
        <f>IF(G408="","",VLOOKUP(G408,TemplateCode!$E$2:$G$700,3,FALSE))</f>
        <v>Ca đêm</v>
      </c>
    </row>
    <row r="409" spans="1:9" ht="15.75">
      <c r="A409" s="32">
        <v>43190464</v>
      </c>
      <c r="B409" s="33" t="s">
        <v>85</v>
      </c>
      <c r="C409" s="29" t="s">
        <v>116</v>
      </c>
      <c r="D409" s="30" t="s">
        <v>17</v>
      </c>
      <c r="E409" s="31" t="str">
        <f>IF(D409="","",VLOOKUP(D409,TemplateCode!$A$2:$C$999,2,FALSE))</f>
        <v>1440</v>
      </c>
      <c r="F409" s="31" t="str">
        <f>IF(D409="","",VLOOKUP(D409,TemplateCode!$A$2:$C$999,3,FALSE))</f>
        <v>Ngày thường</v>
      </c>
      <c r="G409" s="30" t="s">
        <v>31</v>
      </c>
      <c r="H409" s="31" t="str">
        <f>IF(G409="","",VLOOKUP(G409,TemplateCode!$E$2:$G$700,2,FALSE))</f>
        <v>14015595</v>
      </c>
      <c r="I409" s="31" t="str">
        <f>IF(G409="","",VLOOKUP(G409,TemplateCode!$E$2:$G$700,3,FALSE))</f>
        <v>Ca đêm</v>
      </c>
    </row>
    <row r="410" spans="1:9" ht="15.75">
      <c r="A410" s="34">
        <v>43180875</v>
      </c>
      <c r="B410" s="34" t="s">
        <v>86</v>
      </c>
      <c r="C410" s="29" t="s">
        <v>116</v>
      </c>
      <c r="D410" s="30" t="s">
        <v>17</v>
      </c>
      <c r="E410" s="31" t="str">
        <f>IF(D410="","",VLOOKUP(D410,TemplateCode!$A$2:$C$999,2,FALSE))</f>
        <v>1440</v>
      </c>
      <c r="F410" s="31" t="str">
        <f>IF(D410="","",VLOOKUP(D410,TemplateCode!$A$2:$C$999,3,FALSE))</f>
        <v>Ngày thường</v>
      </c>
      <c r="G410" s="30" t="s">
        <v>31</v>
      </c>
      <c r="H410" s="31" t="str">
        <f>IF(G410="","",VLOOKUP(G410,TemplateCode!$E$2:$G$700,2,FALSE))</f>
        <v>14015595</v>
      </c>
      <c r="I410" s="31" t="str">
        <f>IF(G410="","",VLOOKUP(G410,TemplateCode!$E$2:$G$700,3,FALSE))</f>
        <v>Ca đêm</v>
      </c>
    </row>
    <row r="411" spans="1:9" ht="15.75">
      <c r="A411" s="34">
        <v>43180879</v>
      </c>
      <c r="B411" s="34" t="s">
        <v>87</v>
      </c>
      <c r="C411" s="29" t="s">
        <v>116</v>
      </c>
      <c r="D411" s="30" t="s">
        <v>17</v>
      </c>
      <c r="E411" s="31" t="str">
        <f>IF(D411="","",VLOOKUP(D411,TemplateCode!$A$2:$C$999,2,FALSE))</f>
        <v>1440</v>
      </c>
      <c r="F411" s="31" t="str">
        <f>IF(D411="","",VLOOKUP(D411,TemplateCode!$A$2:$C$999,3,FALSE))</f>
        <v>Ngày thường</v>
      </c>
      <c r="G411" s="30" t="s">
        <v>31</v>
      </c>
      <c r="H411" s="31" t="str">
        <f>IF(G411="","",VLOOKUP(G411,TemplateCode!$E$2:$G$700,2,FALSE))</f>
        <v>14015595</v>
      </c>
      <c r="I411" s="31" t="str">
        <f>IF(G411="","",VLOOKUP(G411,TemplateCode!$E$2:$G$700,3,FALSE))</f>
        <v>Ca đêm</v>
      </c>
    </row>
    <row r="412" spans="1:9" ht="15.75">
      <c r="A412" s="27">
        <v>43181074</v>
      </c>
      <c r="B412" s="34" t="s">
        <v>88</v>
      </c>
      <c r="C412" s="29" t="s">
        <v>116</v>
      </c>
      <c r="D412" s="30" t="s">
        <v>17</v>
      </c>
      <c r="E412" s="31" t="str">
        <f>IF(D412="","",VLOOKUP(D412,TemplateCode!$A$2:$C$999,2,FALSE))</f>
        <v>1440</v>
      </c>
      <c r="F412" s="31" t="str">
        <f>IF(D412="","",VLOOKUP(D412,TemplateCode!$A$2:$C$999,3,FALSE))</f>
        <v>Ngày thường</v>
      </c>
      <c r="G412" s="30" t="s">
        <v>31</v>
      </c>
      <c r="H412" s="31" t="str">
        <f>IF(G412="","",VLOOKUP(G412,TemplateCode!$E$2:$G$700,2,FALSE))</f>
        <v>14015595</v>
      </c>
      <c r="I412" s="31" t="str">
        <f>IF(G412="","",VLOOKUP(G412,TemplateCode!$E$2:$G$700,3,FALSE))</f>
        <v>Ca đêm</v>
      </c>
    </row>
    <row r="413" spans="1:9" ht="15.75">
      <c r="A413" s="35">
        <v>43180750</v>
      </c>
      <c r="B413" s="28" t="s">
        <v>89</v>
      </c>
      <c r="C413" s="29" t="s">
        <v>116</v>
      </c>
      <c r="D413" s="30" t="s">
        <v>17</v>
      </c>
      <c r="E413" s="31" t="str">
        <f>IF(D413="","",VLOOKUP(D413,TemplateCode!$A$2:$C$999,2,FALSE))</f>
        <v>1440</v>
      </c>
      <c r="F413" s="31" t="str">
        <f>IF(D413="","",VLOOKUP(D413,TemplateCode!$A$2:$C$999,3,FALSE))</f>
        <v>Ngày thường</v>
      </c>
      <c r="G413" s="30" t="s">
        <v>31</v>
      </c>
      <c r="H413" s="31" t="str">
        <f>IF(G413="","",VLOOKUP(G413,TemplateCode!$E$2:$G$700,2,FALSE))</f>
        <v>14015595</v>
      </c>
      <c r="I413" s="31" t="str">
        <f>IF(G413="","",VLOOKUP(G413,TemplateCode!$E$2:$G$700,3,FALSE))</f>
        <v>Ca đêm</v>
      </c>
    </row>
    <row r="414" spans="1:9" ht="15.75">
      <c r="A414" s="35">
        <v>43181362</v>
      </c>
      <c r="B414" s="28" t="s">
        <v>90</v>
      </c>
      <c r="C414" s="29" t="s">
        <v>116</v>
      </c>
      <c r="D414" s="30" t="s">
        <v>17</v>
      </c>
      <c r="E414" s="31" t="str">
        <f>IF(D414="","",VLOOKUP(D414,TemplateCode!$A$2:$C$999,2,FALSE))</f>
        <v>1440</v>
      </c>
      <c r="F414" s="31" t="str">
        <f>IF(D414="","",VLOOKUP(D414,TemplateCode!$A$2:$C$999,3,FALSE))</f>
        <v>Ngày thường</v>
      </c>
      <c r="G414" s="30" t="s">
        <v>31</v>
      </c>
      <c r="H414" s="31" t="str">
        <f>IF(G414="","",VLOOKUP(G414,TemplateCode!$E$2:$G$700,2,FALSE))</f>
        <v>14015595</v>
      </c>
      <c r="I414" s="31" t="str">
        <f>IF(G414="","",VLOOKUP(G414,TemplateCode!$E$2:$G$700,3,FALSE))</f>
        <v>Ca đêm</v>
      </c>
    </row>
    <row r="415" spans="1:9" ht="15.75">
      <c r="A415" s="35">
        <v>43181479</v>
      </c>
      <c r="B415" s="28" t="s">
        <v>91</v>
      </c>
      <c r="C415" s="29" t="s">
        <v>116</v>
      </c>
      <c r="D415" s="30" t="s">
        <v>17</v>
      </c>
      <c r="E415" s="31" t="str">
        <f>IF(D415="","",VLOOKUP(D415,TemplateCode!$A$2:$C$999,2,FALSE))</f>
        <v>1440</v>
      </c>
      <c r="F415" s="31" t="str">
        <f>IF(D415="","",VLOOKUP(D415,TemplateCode!$A$2:$C$999,3,FALSE))</f>
        <v>Ngày thường</v>
      </c>
      <c r="G415" s="30" t="s">
        <v>31</v>
      </c>
      <c r="H415" s="31" t="str">
        <f>IF(G415="","",VLOOKUP(G415,TemplateCode!$E$2:$G$700,2,FALSE))</f>
        <v>14015595</v>
      </c>
      <c r="I415" s="31" t="str">
        <f>IF(G415="","",VLOOKUP(G415,TemplateCode!$E$2:$G$700,3,FALSE))</f>
        <v>Ca đêm</v>
      </c>
    </row>
    <row r="416" spans="1:9" ht="15.75">
      <c r="A416" s="35">
        <v>43190068</v>
      </c>
      <c r="B416" s="28" t="s">
        <v>92</v>
      </c>
      <c r="C416" s="29" t="s">
        <v>116</v>
      </c>
      <c r="D416" s="30" t="s">
        <v>17</v>
      </c>
      <c r="E416" s="31" t="str">
        <f>IF(D416="","",VLOOKUP(D416,TemplateCode!$A$2:$C$999,2,FALSE))</f>
        <v>1440</v>
      </c>
      <c r="F416" s="31" t="str">
        <f>IF(D416="","",VLOOKUP(D416,TemplateCode!$A$2:$C$999,3,FALSE))</f>
        <v>Ngày thường</v>
      </c>
      <c r="G416" s="30" t="s">
        <v>31</v>
      </c>
      <c r="H416" s="31" t="str">
        <f>IF(G416="","",VLOOKUP(G416,TemplateCode!$E$2:$G$700,2,FALSE))</f>
        <v>14015595</v>
      </c>
      <c r="I416" s="31" t="str">
        <f>IF(G416="","",VLOOKUP(G416,TemplateCode!$E$2:$G$700,3,FALSE))</f>
        <v>Ca đêm</v>
      </c>
    </row>
    <row r="417" spans="1:9" ht="15.75">
      <c r="A417" s="35">
        <v>43190084</v>
      </c>
      <c r="B417" s="28" t="s">
        <v>93</v>
      </c>
      <c r="C417" s="29" t="s">
        <v>116</v>
      </c>
      <c r="D417" s="30" t="s">
        <v>17</v>
      </c>
      <c r="E417" s="31" t="str">
        <f>IF(D417="","",VLOOKUP(D417,TemplateCode!$A$2:$C$999,2,FALSE))</f>
        <v>1440</v>
      </c>
      <c r="F417" s="31" t="str">
        <f>IF(D417="","",VLOOKUP(D417,TemplateCode!$A$2:$C$999,3,FALSE))</f>
        <v>Ngày thường</v>
      </c>
      <c r="G417" s="30" t="s">
        <v>31</v>
      </c>
      <c r="H417" s="31" t="str">
        <f>IF(G417="","",VLOOKUP(G417,TemplateCode!$E$2:$G$700,2,FALSE))</f>
        <v>14015595</v>
      </c>
      <c r="I417" s="31" t="str">
        <f>IF(G417="","",VLOOKUP(G417,TemplateCode!$E$2:$G$700,3,FALSE))</f>
        <v>Ca đêm</v>
      </c>
    </row>
    <row r="418" spans="1:9" ht="15.75">
      <c r="A418" s="27">
        <v>43190108</v>
      </c>
      <c r="B418" s="28" t="s">
        <v>94</v>
      </c>
      <c r="C418" s="29" t="s">
        <v>116</v>
      </c>
      <c r="D418" s="30" t="s">
        <v>17</v>
      </c>
      <c r="E418" s="31" t="str">
        <f>IF(D418="","",VLOOKUP(D418,TemplateCode!$A$2:$C$999,2,FALSE))</f>
        <v>1440</v>
      </c>
      <c r="F418" s="31" t="str">
        <f>IF(D418="","",VLOOKUP(D418,TemplateCode!$A$2:$C$999,3,FALSE))</f>
        <v>Ngày thường</v>
      </c>
      <c r="G418" s="30" t="s">
        <v>31</v>
      </c>
      <c r="H418" s="31" t="str">
        <f>IF(G418="","",VLOOKUP(G418,TemplateCode!$E$2:$G$700,2,FALSE))</f>
        <v>14015595</v>
      </c>
      <c r="I418" s="31" t="str">
        <f>IF(G418="","",VLOOKUP(G418,TemplateCode!$E$2:$G$700,3,FALSE))</f>
        <v>Ca đêm</v>
      </c>
    </row>
    <row r="419" spans="1:9" ht="15.75">
      <c r="A419" s="34">
        <v>43190107</v>
      </c>
      <c r="B419" s="34" t="s">
        <v>95</v>
      </c>
      <c r="C419" s="29" t="s">
        <v>116</v>
      </c>
      <c r="D419" s="30" t="s">
        <v>17</v>
      </c>
      <c r="E419" s="31" t="str">
        <f>IF(D419="","",VLOOKUP(D419,TemplateCode!$A$2:$C$999,2,FALSE))</f>
        <v>1440</v>
      </c>
      <c r="F419" s="31" t="str">
        <f>IF(D419="","",VLOOKUP(D419,TemplateCode!$A$2:$C$999,3,FALSE))</f>
        <v>Ngày thường</v>
      </c>
      <c r="G419" s="30" t="s">
        <v>31</v>
      </c>
      <c r="H419" s="31" t="str">
        <f>IF(G419="","",VLOOKUP(G419,TemplateCode!$E$2:$G$700,2,FALSE))</f>
        <v>14015595</v>
      </c>
      <c r="I419" s="31" t="str">
        <f>IF(G419="","",VLOOKUP(G419,TemplateCode!$E$2:$G$700,3,FALSE))</f>
        <v>Ca đêm</v>
      </c>
    </row>
    <row r="420" spans="1:9" ht="15.75">
      <c r="A420" s="27">
        <v>43190129</v>
      </c>
      <c r="B420" s="28" t="s">
        <v>96</v>
      </c>
      <c r="C420" s="29" t="s">
        <v>116</v>
      </c>
      <c r="D420" s="30" t="s">
        <v>17</v>
      </c>
      <c r="E420" s="31" t="str">
        <f>IF(D420="","",VLOOKUP(D420,TemplateCode!$A$2:$C$999,2,FALSE))</f>
        <v>1440</v>
      </c>
      <c r="F420" s="31" t="str">
        <f>IF(D420="","",VLOOKUP(D420,TemplateCode!$A$2:$C$999,3,FALSE))</f>
        <v>Ngày thường</v>
      </c>
      <c r="G420" s="30" t="s">
        <v>31</v>
      </c>
      <c r="H420" s="31" t="str">
        <f>IF(G420="","",VLOOKUP(G420,TemplateCode!$E$2:$G$700,2,FALSE))</f>
        <v>14015595</v>
      </c>
      <c r="I420" s="31" t="str">
        <f>IF(G420="","",VLOOKUP(G420,TemplateCode!$E$2:$G$700,3,FALSE))</f>
        <v>Ca đêm</v>
      </c>
    </row>
    <row r="421" spans="1:9" ht="15.75">
      <c r="A421" s="34">
        <v>43190248</v>
      </c>
      <c r="B421" s="34" t="s">
        <v>97</v>
      </c>
      <c r="C421" s="29" t="s">
        <v>116</v>
      </c>
      <c r="D421" s="30" t="s">
        <v>17</v>
      </c>
      <c r="E421" s="31" t="str">
        <f>IF(D421="","",VLOOKUP(D421,TemplateCode!$A$2:$C$999,2,FALSE))</f>
        <v>1440</v>
      </c>
      <c r="F421" s="31" t="str">
        <f>IF(D421="","",VLOOKUP(D421,TemplateCode!$A$2:$C$999,3,FALSE))</f>
        <v>Ngày thường</v>
      </c>
      <c r="G421" s="30" t="s">
        <v>31</v>
      </c>
      <c r="H421" s="31" t="str">
        <f>IF(G421="","",VLOOKUP(G421,TemplateCode!$E$2:$G$700,2,FALSE))</f>
        <v>14015595</v>
      </c>
      <c r="I421" s="31" t="str">
        <f>IF(G421="","",VLOOKUP(G421,TemplateCode!$E$2:$G$700,3,FALSE))</f>
        <v>Ca đêm</v>
      </c>
    </row>
    <row r="422" spans="1:9" ht="15.75">
      <c r="A422" s="34">
        <v>43190251</v>
      </c>
      <c r="B422" s="34" t="s">
        <v>98</v>
      </c>
      <c r="C422" s="29" t="s">
        <v>116</v>
      </c>
      <c r="D422" s="30" t="s">
        <v>17</v>
      </c>
      <c r="E422" s="31" t="str">
        <f>IF(D422="","",VLOOKUP(D422,TemplateCode!$A$2:$C$999,2,FALSE))</f>
        <v>1440</v>
      </c>
      <c r="F422" s="31" t="str">
        <f>IF(D422="","",VLOOKUP(D422,TemplateCode!$A$2:$C$999,3,FALSE))</f>
        <v>Ngày thường</v>
      </c>
      <c r="G422" s="30" t="s">
        <v>31</v>
      </c>
      <c r="H422" s="31" t="str">
        <f>IF(G422="","",VLOOKUP(G422,TemplateCode!$E$2:$G$700,2,FALSE))</f>
        <v>14015595</v>
      </c>
      <c r="I422" s="31" t="str">
        <f>IF(G422="","",VLOOKUP(G422,TemplateCode!$E$2:$G$700,3,FALSE))</f>
        <v>Ca đêm</v>
      </c>
    </row>
    <row r="423" spans="1:9" ht="15.75">
      <c r="A423" s="34">
        <v>43190278</v>
      </c>
      <c r="B423" s="34" t="s">
        <v>99</v>
      </c>
      <c r="C423" s="29" t="s">
        <v>116</v>
      </c>
      <c r="D423" s="30" t="s">
        <v>17</v>
      </c>
      <c r="E423" s="31" t="str">
        <f>IF(D423="","",VLOOKUP(D423,TemplateCode!$A$2:$C$999,2,FALSE))</f>
        <v>1440</v>
      </c>
      <c r="F423" s="31" t="str">
        <f>IF(D423="","",VLOOKUP(D423,TemplateCode!$A$2:$C$999,3,FALSE))</f>
        <v>Ngày thường</v>
      </c>
      <c r="G423" s="30" t="s">
        <v>31</v>
      </c>
      <c r="H423" s="31" t="str">
        <f>IF(G423="","",VLOOKUP(G423,TemplateCode!$E$2:$G$700,2,FALSE))</f>
        <v>14015595</v>
      </c>
      <c r="I423" s="31" t="str">
        <f>IF(G423="","",VLOOKUP(G423,TemplateCode!$E$2:$G$700,3,FALSE))</f>
        <v>Ca đêm</v>
      </c>
    </row>
    <row r="424" spans="1:9" ht="15.75">
      <c r="A424" s="36">
        <v>43190385</v>
      </c>
      <c r="B424" s="33" t="s">
        <v>100</v>
      </c>
      <c r="C424" s="29" t="s">
        <v>116</v>
      </c>
      <c r="D424" s="30" t="s">
        <v>17</v>
      </c>
      <c r="E424" s="31" t="str">
        <f>IF(D424="","",VLOOKUP(D424,TemplateCode!$A$2:$C$999,2,FALSE))</f>
        <v>1440</v>
      </c>
      <c r="F424" s="31" t="str">
        <f>IF(D424="","",VLOOKUP(D424,TemplateCode!$A$2:$C$999,3,FALSE))</f>
        <v>Ngày thường</v>
      </c>
      <c r="G424" s="30" t="s">
        <v>31</v>
      </c>
      <c r="H424" s="31" t="str">
        <f>IF(G424="","",VLOOKUP(G424,TemplateCode!$E$2:$G$700,2,FALSE))</f>
        <v>14015595</v>
      </c>
      <c r="I424" s="31" t="str">
        <f>IF(G424="","",VLOOKUP(G424,TemplateCode!$E$2:$G$700,3,FALSE))</f>
        <v>Ca đêm</v>
      </c>
    </row>
    <row r="425" spans="1:9" ht="15.75">
      <c r="A425" s="36">
        <v>43190389</v>
      </c>
      <c r="B425" s="33" t="s">
        <v>101</v>
      </c>
      <c r="C425" s="29" t="s">
        <v>116</v>
      </c>
      <c r="D425" s="30" t="s">
        <v>17</v>
      </c>
      <c r="E425" s="31" t="str">
        <f>IF(D425="","",VLOOKUP(D425,TemplateCode!$A$2:$C$999,2,FALSE))</f>
        <v>1440</v>
      </c>
      <c r="F425" s="31" t="str">
        <f>IF(D425="","",VLOOKUP(D425,TemplateCode!$A$2:$C$999,3,FALSE))</f>
        <v>Ngày thường</v>
      </c>
      <c r="G425" s="30" t="s">
        <v>31</v>
      </c>
      <c r="H425" s="31" t="str">
        <f>IF(G425="","",VLOOKUP(G425,TemplateCode!$E$2:$G$700,2,FALSE))</f>
        <v>14015595</v>
      </c>
      <c r="I425" s="31" t="str">
        <f>IF(G425="","",VLOOKUP(G425,TemplateCode!$E$2:$G$700,3,FALSE))</f>
        <v>Ca đêm</v>
      </c>
    </row>
    <row r="426" spans="1:9" ht="15.75">
      <c r="A426" s="35">
        <v>43181469</v>
      </c>
      <c r="B426" s="28" t="s">
        <v>102</v>
      </c>
      <c r="C426" s="29" t="s">
        <v>116</v>
      </c>
      <c r="D426" s="30" t="s">
        <v>17</v>
      </c>
      <c r="E426" s="31" t="str">
        <f>IF(D426="","",VLOOKUP(D426,TemplateCode!$A$2:$C$999,2,FALSE))</f>
        <v>1440</v>
      </c>
      <c r="F426" s="31" t="str">
        <f>IF(D426="","",VLOOKUP(D426,TemplateCode!$A$2:$C$999,3,FALSE))</f>
        <v>Ngày thường</v>
      </c>
      <c r="G426" s="30" t="s">
        <v>31</v>
      </c>
      <c r="H426" s="31" t="str">
        <f>IF(G426="","",VLOOKUP(G426,TemplateCode!$E$2:$G$700,2,FALSE))</f>
        <v>14015595</v>
      </c>
      <c r="I426" s="31" t="str">
        <f>IF(G426="","",VLOOKUP(G426,TemplateCode!$E$2:$G$700,3,FALSE))</f>
        <v>Ca đêm</v>
      </c>
    </row>
    <row r="427" spans="1:9" ht="15.75">
      <c r="A427" s="36">
        <v>43190403</v>
      </c>
      <c r="B427" s="33" t="s">
        <v>103</v>
      </c>
      <c r="C427" s="29" t="s">
        <v>116</v>
      </c>
      <c r="D427" s="30" t="s">
        <v>17</v>
      </c>
      <c r="E427" s="31" t="str">
        <f>IF(D427="","",VLOOKUP(D427,TemplateCode!$A$2:$C$999,2,FALSE))</f>
        <v>1440</v>
      </c>
      <c r="F427" s="31" t="str">
        <f>IF(D427="","",VLOOKUP(D427,TemplateCode!$A$2:$C$999,3,FALSE))</f>
        <v>Ngày thường</v>
      </c>
      <c r="G427" s="30" t="s">
        <v>31</v>
      </c>
      <c r="H427" s="31" t="str">
        <f>IF(G427="","",VLOOKUP(G427,TemplateCode!$E$2:$G$700,2,FALSE))</f>
        <v>14015595</v>
      </c>
      <c r="I427" s="31" t="str">
        <f>IF(G427="","",VLOOKUP(G427,TemplateCode!$E$2:$G$700,3,FALSE))</f>
        <v>Ca đêm</v>
      </c>
    </row>
    <row r="428" spans="1:9" ht="15.75">
      <c r="A428" s="34">
        <v>43190018</v>
      </c>
      <c r="B428" s="34" t="s">
        <v>104</v>
      </c>
      <c r="C428" s="29" t="s">
        <v>116</v>
      </c>
      <c r="D428" s="30" t="s">
        <v>17</v>
      </c>
      <c r="E428" s="31" t="str">
        <f>IF(D428="","",VLOOKUP(D428,TemplateCode!$A$2:$C$999,2,FALSE))</f>
        <v>1440</v>
      </c>
      <c r="F428" s="31" t="str">
        <f>IF(D428="","",VLOOKUP(D428,TemplateCode!$A$2:$C$999,3,FALSE))</f>
        <v>Ngày thường</v>
      </c>
      <c r="G428" s="30" t="s">
        <v>31</v>
      </c>
      <c r="H428" s="31" t="str">
        <f>IF(G428="","",VLOOKUP(G428,TemplateCode!$E$2:$G$700,2,FALSE))</f>
        <v>14015595</v>
      </c>
      <c r="I428" s="31" t="str">
        <f>IF(G428="","",VLOOKUP(G428,TemplateCode!$E$2:$G$700,3,FALSE))</f>
        <v>Ca đêm</v>
      </c>
    </row>
    <row r="429" spans="1:9" ht="15.75">
      <c r="A429" s="36">
        <v>43190460</v>
      </c>
      <c r="B429" s="33" t="s">
        <v>105</v>
      </c>
      <c r="C429" s="29" t="s">
        <v>116</v>
      </c>
      <c r="D429" s="30" t="s">
        <v>17</v>
      </c>
      <c r="E429" s="31" t="str">
        <f>IF(D429="","",VLOOKUP(D429,TemplateCode!$A$2:$C$999,2,FALSE))</f>
        <v>1440</v>
      </c>
      <c r="F429" s="31" t="str">
        <f>IF(D429="","",VLOOKUP(D429,TemplateCode!$A$2:$C$999,3,FALSE))</f>
        <v>Ngày thường</v>
      </c>
      <c r="G429" s="30" t="s">
        <v>31</v>
      </c>
      <c r="H429" s="31" t="str">
        <f>IF(G429="","",VLOOKUP(G429,TemplateCode!$E$2:$G$700,2,FALSE))</f>
        <v>14015595</v>
      </c>
      <c r="I429" s="31" t="str">
        <f>IF(G429="","",VLOOKUP(G429,TemplateCode!$E$2:$G$700,3,FALSE))</f>
        <v>Ca đêm</v>
      </c>
    </row>
    <row r="430" spans="1:9" ht="15.75">
      <c r="A430" s="27">
        <v>43181073</v>
      </c>
      <c r="B430" s="34" t="s">
        <v>106</v>
      </c>
      <c r="C430" s="29" t="s">
        <v>116</v>
      </c>
      <c r="D430" s="30" t="s">
        <v>17</v>
      </c>
      <c r="E430" s="31" t="str">
        <f>IF(D430="","",VLOOKUP(D430,TemplateCode!$A$2:$C$999,2,FALSE))</f>
        <v>1440</v>
      </c>
      <c r="F430" s="31" t="str">
        <f>IF(D430="","",VLOOKUP(D430,TemplateCode!$A$2:$C$999,3,FALSE))</f>
        <v>Ngày thường</v>
      </c>
      <c r="G430" s="30" t="s">
        <v>31</v>
      </c>
      <c r="H430" s="31" t="str">
        <f>IF(G430="","",VLOOKUP(G430,TemplateCode!$E$2:$G$700,2,FALSE))</f>
        <v>14015595</v>
      </c>
      <c r="I430" s="31" t="str">
        <f>IF(G430="","",VLOOKUP(G430,TemplateCode!$E$2:$G$700,3,FALSE))</f>
        <v>Ca đêm</v>
      </c>
    </row>
    <row r="431" spans="1:9" ht="15.75">
      <c r="A431" s="34">
        <v>43190445</v>
      </c>
      <c r="B431" s="34" t="s">
        <v>107</v>
      </c>
      <c r="C431" s="29" t="s">
        <v>116</v>
      </c>
      <c r="D431" s="30" t="s">
        <v>17</v>
      </c>
      <c r="E431" s="31" t="str">
        <f>IF(D431="","",VLOOKUP(D431,TemplateCode!$A$2:$C$999,2,FALSE))</f>
        <v>1440</v>
      </c>
      <c r="F431" s="31" t="str">
        <f>IF(D431="","",VLOOKUP(D431,TemplateCode!$A$2:$C$999,3,FALSE))</f>
        <v>Ngày thường</v>
      </c>
      <c r="G431" s="30" t="s">
        <v>31</v>
      </c>
      <c r="H431" s="31" t="str">
        <f>IF(G431="","",VLOOKUP(G431,TemplateCode!$E$2:$G$700,2,FALSE))</f>
        <v>14015595</v>
      </c>
      <c r="I431" s="31" t="str">
        <f>IF(G431="","",VLOOKUP(G431,TemplateCode!$E$2:$G$700,3,FALSE))</f>
        <v>Ca đêm</v>
      </c>
    </row>
    <row r="432" spans="1:9" ht="15.75">
      <c r="A432" s="34">
        <v>43190243</v>
      </c>
      <c r="B432" s="34" t="s">
        <v>108</v>
      </c>
      <c r="C432" s="29" t="s">
        <v>116</v>
      </c>
      <c r="D432" s="30" t="s">
        <v>17</v>
      </c>
      <c r="E432" s="31" t="str">
        <f>IF(D432="","",VLOOKUP(D432,TemplateCode!$A$2:$C$999,2,FALSE))</f>
        <v>1440</v>
      </c>
      <c r="F432" s="31" t="str">
        <f>IF(D432="","",VLOOKUP(D432,TemplateCode!$A$2:$C$999,3,FALSE))</f>
        <v>Ngày thường</v>
      </c>
      <c r="G432" s="30" t="s">
        <v>31</v>
      </c>
      <c r="H432" s="31" t="str">
        <f>IF(G432="","",VLOOKUP(G432,TemplateCode!$E$2:$G$700,2,FALSE))</f>
        <v>14015595</v>
      </c>
      <c r="I432" s="31" t="str">
        <f>IF(G432="","",VLOOKUP(G432,TemplateCode!$E$2:$G$700,3,FALSE))</f>
        <v>Ca đêm</v>
      </c>
    </row>
    <row r="433" spans="1:9" ht="15.75">
      <c r="A433" s="37">
        <v>43190805</v>
      </c>
      <c r="B433" s="37" t="s">
        <v>109</v>
      </c>
      <c r="C433" s="29" t="s">
        <v>116</v>
      </c>
      <c r="D433" s="30" t="s">
        <v>17</v>
      </c>
      <c r="E433" s="31" t="str">
        <f>IF(D433="","",VLOOKUP(D433,TemplateCode!$A$2:$C$999,2,FALSE))</f>
        <v>1440</v>
      </c>
      <c r="F433" s="31" t="str">
        <f>IF(D433="","",VLOOKUP(D433,TemplateCode!$A$2:$C$999,3,FALSE))</f>
        <v>Ngày thường</v>
      </c>
      <c r="G433" s="30" t="s">
        <v>31</v>
      </c>
      <c r="H433" s="31" t="str">
        <f>IF(G433="","",VLOOKUP(G433,TemplateCode!$E$2:$G$700,2,FALSE))</f>
        <v>14015595</v>
      </c>
      <c r="I433" s="31" t="str">
        <f>IF(G433="","",VLOOKUP(G433,TemplateCode!$E$2:$G$700,3,FALSE))</f>
        <v>Ca đêm</v>
      </c>
    </row>
    <row r="434" spans="1:9" ht="15.75">
      <c r="A434" s="14">
        <v>43181429</v>
      </c>
      <c r="B434" s="14" t="s">
        <v>55</v>
      </c>
      <c r="C434" s="12" t="s">
        <v>117</v>
      </c>
      <c r="D434" s="11" t="s">
        <v>17</v>
      </c>
      <c r="E434" s="10" t="str">
        <f>IF(D434="","",VLOOKUP(D434,TemplateCode!$A$2:$C$999,2,FALSE))</f>
        <v>1440</v>
      </c>
      <c r="F434" s="10" t="str">
        <f>IF(D434="","",VLOOKUP(D434,TemplateCode!$A$2:$C$999,3,FALSE))</f>
        <v>Ngày thường</v>
      </c>
      <c r="G434" s="11" t="s">
        <v>52</v>
      </c>
      <c r="H434" s="10" t="str">
        <f>IF(G434="","",VLOOKUP(G434,TemplateCode!$E$2:$G$700,2,FALSE))</f>
        <v>90000456</v>
      </c>
      <c r="I434" s="10" t="str">
        <f>IF(G434="","",VLOOKUP(G434,TemplateCode!$E$2:$G$700,3,FALSE))</f>
        <v>Ca ngày</v>
      </c>
    </row>
    <row r="435" spans="1:9" ht="15.75">
      <c r="A435" s="15">
        <v>43181308</v>
      </c>
      <c r="B435" s="15" t="s">
        <v>56</v>
      </c>
      <c r="C435" s="12" t="s">
        <v>117</v>
      </c>
      <c r="D435" s="11" t="s">
        <v>17</v>
      </c>
      <c r="E435" s="10" t="str">
        <f>IF(D435="","",VLOOKUP(D435,TemplateCode!$A$2:$C$999,2,FALSE))</f>
        <v>1440</v>
      </c>
      <c r="F435" s="10" t="str">
        <f>IF(D435="","",VLOOKUP(D435,TemplateCode!$A$2:$C$999,3,FALSE))</f>
        <v>Ngày thường</v>
      </c>
      <c r="G435" s="11" t="s">
        <v>52</v>
      </c>
      <c r="H435" s="10" t="str">
        <f>IF(G435="","",VLOOKUP(G435,TemplateCode!$E$2:$G$700,2,FALSE))</f>
        <v>90000456</v>
      </c>
      <c r="I435" s="10" t="str">
        <f>IF(G435="","",VLOOKUP(G435,TemplateCode!$E$2:$G$700,3,FALSE))</f>
        <v>Ca ngày</v>
      </c>
    </row>
    <row r="436" spans="1:9" ht="15.75">
      <c r="A436" s="16">
        <v>43181355</v>
      </c>
      <c r="B436" s="17" t="s">
        <v>57</v>
      </c>
      <c r="C436" s="12" t="s">
        <v>117</v>
      </c>
      <c r="D436" s="11" t="s">
        <v>17</v>
      </c>
      <c r="E436" s="10" t="str">
        <f>IF(D436="","",VLOOKUP(D436,TemplateCode!$A$2:$C$999,2,FALSE))</f>
        <v>1440</v>
      </c>
      <c r="F436" s="10" t="str">
        <f>IF(D436="","",VLOOKUP(D436,TemplateCode!$A$2:$C$999,3,FALSE))</f>
        <v>Ngày thường</v>
      </c>
      <c r="G436" s="11" t="s">
        <v>52</v>
      </c>
      <c r="H436" s="10" t="str">
        <f>IF(G436="","",VLOOKUP(G436,TemplateCode!$E$2:$G$700,2,FALSE))</f>
        <v>90000456</v>
      </c>
      <c r="I436" s="10" t="str">
        <f>IF(G436="","",VLOOKUP(G436,TemplateCode!$E$2:$G$700,3,FALSE))</f>
        <v>Ca ngày</v>
      </c>
    </row>
    <row r="437" spans="1:9" ht="15.75">
      <c r="A437" s="15">
        <v>43181462</v>
      </c>
      <c r="B437" s="17" t="s">
        <v>58</v>
      </c>
      <c r="C437" s="12" t="s">
        <v>117</v>
      </c>
      <c r="D437" s="11" t="s">
        <v>17</v>
      </c>
      <c r="E437" s="10" t="str">
        <f>IF(D437="","",VLOOKUP(D437,TemplateCode!$A$2:$C$999,2,FALSE))</f>
        <v>1440</v>
      </c>
      <c r="F437" s="10" t="str">
        <f>IF(D437="","",VLOOKUP(D437,TemplateCode!$A$2:$C$999,3,FALSE))</f>
        <v>Ngày thường</v>
      </c>
      <c r="G437" s="11" t="s">
        <v>52</v>
      </c>
      <c r="H437" s="10" t="str">
        <f>IF(G437="","",VLOOKUP(G437,TemplateCode!$E$2:$G$700,2,FALSE))</f>
        <v>90000456</v>
      </c>
      <c r="I437" s="10" t="str">
        <f>IF(G437="","",VLOOKUP(G437,TemplateCode!$E$2:$G$700,3,FALSE))</f>
        <v>Ca ngày</v>
      </c>
    </row>
    <row r="438" spans="1:9" ht="15.75">
      <c r="A438" s="18">
        <v>43181463</v>
      </c>
      <c r="B438" s="17" t="s">
        <v>59</v>
      </c>
      <c r="C438" s="12" t="s">
        <v>117</v>
      </c>
      <c r="D438" s="11" t="s">
        <v>17</v>
      </c>
      <c r="E438" s="10" t="str">
        <f>IF(D438="","",VLOOKUP(D438,TemplateCode!$A$2:$C$999,2,FALSE))</f>
        <v>1440</v>
      </c>
      <c r="F438" s="10" t="str">
        <f>IF(D438="","",VLOOKUP(D438,TemplateCode!$A$2:$C$999,3,FALSE))</f>
        <v>Ngày thường</v>
      </c>
      <c r="G438" s="11" t="s">
        <v>52</v>
      </c>
      <c r="H438" s="10" t="str">
        <f>IF(G438="","",VLOOKUP(G438,TemplateCode!$E$2:$G$700,2,FALSE))</f>
        <v>90000456</v>
      </c>
      <c r="I438" s="10" t="str">
        <f>IF(G438="","",VLOOKUP(G438,TemplateCode!$E$2:$G$700,3,FALSE))</f>
        <v>Ca ngày</v>
      </c>
    </row>
    <row r="439" spans="1:9" ht="15.75">
      <c r="A439" s="15">
        <v>43181487</v>
      </c>
      <c r="B439" s="15" t="s">
        <v>60</v>
      </c>
      <c r="C439" s="12" t="s">
        <v>117</v>
      </c>
      <c r="D439" s="11" t="s">
        <v>17</v>
      </c>
      <c r="E439" s="10" t="str">
        <f>IF(D439="","",VLOOKUP(D439,TemplateCode!$A$2:$C$999,2,FALSE))</f>
        <v>1440</v>
      </c>
      <c r="F439" s="10" t="str">
        <f>IF(D439="","",VLOOKUP(D439,TemplateCode!$A$2:$C$999,3,FALSE))</f>
        <v>Ngày thường</v>
      </c>
      <c r="G439" s="11" t="s">
        <v>52</v>
      </c>
      <c r="H439" s="10" t="str">
        <f>IF(G439="","",VLOOKUP(G439,TemplateCode!$E$2:$G$700,2,FALSE))</f>
        <v>90000456</v>
      </c>
      <c r="I439" s="10" t="str">
        <f>IF(G439="","",VLOOKUP(G439,TemplateCode!$E$2:$G$700,3,FALSE))</f>
        <v>Ca ngày</v>
      </c>
    </row>
    <row r="440" spans="1:9" ht="15.75">
      <c r="A440" s="15">
        <v>43181490</v>
      </c>
      <c r="B440" s="15" t="s">
        <v>61</v>
      </c>
      <c r="C440" s="12" t="s">
        <v>117</v>
      </c>
      <c r="D440" s="11" t="s">
        <v>17</v>
      </c>
      <c r="E440" s="10" t="str">
        <f>IF(D440="","",VLOOKUP(D440,TemplateCode!$A$2:$C$999,2,FALSE))</f>
        <v>1440</v>
      </c>
      <c r="F440" s="10" t="str">
        <f>IF(D440="","",VLOOKUP(D440,TemplateCode!$A$2:$C$999,3,FALSE))</f>
        <v>Ngày thường</v>
      </c>
      <c r="G440" s="11" t="s">
        <v>52</v>
      </c>
      <c r="H440" s="10" t="str">
        <f>IF(G440="","",VLOOKUP(G440,TemplateCode!$E$2:$G$700,2,FALSE))</f>
        <v>90000456</v>
      </c>
      <c r="I440" s="10" t="str">
        <f>IF(G440="","",VLOOKUP(G440,TemplateCode!$E$2:$G$700,3,FALSE))</f>
        <v>Ca ngày</v>
      </c>
    </row>
    <row r="441" spans="1:9" ht="15.75">
      <c r="A441" s="15">
        <v>43190015</v>
      </c>
      <c r="B441" s="15" t="s">
        <v>62</v>
      </c>
      <c r="C441" s="12" t="s">
        <v>117</v>
      </c>
      <c r="D441" s="11" t="s">
        <v>17</v>
      </c>
      <c r="E441" s="10" t="str">
        <f>IF(D441="","",VLOOKUP(D441,TemplateCode!$A$2:$C$999,2,FALSE))</f>
        <v>1440</v>
      </c>
      <c r="F441" s="10" t="str">
        <f>IF(D441="","",VLOOKUP(D441,TemplateCode!$A$2:$C$999,3,FALSE))</f>
        <v>Ngày thường</v>
      </c>
      <c r="G441" s="11" t="s">
        <v>52</v>
      </c>
      <c r="H441" s="10" t="str">
        <f>IF(G441="","",VLOOKUP(G441,TemplateCode!$E$2:$G$700,2,FALSE))</f>
        <v>90000456</v>
      </c>
      <c r="I441" s="10" t="str">
        <f>IF(G441="","",VLOOKUP(G441,TemplateCode!$E$2:$G$700,3,FALSE))</f>
        <v>Ca ngày</v>
      </c>
    </row>
    <row r="442" spans="1:9" ht="15.75">
      <c r="A442" s="15">
        <v>43190023</v>
      </c>
      <c r="B442" s="15" t="s">
        <v>63</v>
      </c>
      <c r="C442" s="12" t="s">
        <v>117</v>
      </c>
      <c r="D442" s="11" t="s">
        <v>17</v>
      </c>
      <c r="E442" s="10" t="str">
        <f>IF(D442="","",VLOOKUP(D442,TemplateCode!$A$2:$C$999,2,FALSE))</f>
        <v>1440</v>
      </c>
      <c r="F442" s="10" t="str">
        <f>IF(D442="","",VLOOKUP(D442,TemplateCode!$A$2:$C$999,3,FALSE))</f>
        <v>Ngày thường</v>
      </c>
      <c r="G442" s="11" t="s">
        <v>52</v>
      </c>
      <c r="H442" s="10" t="str">
        <f>IF(G442="","",VLOOKUP(G442,TemplateCode!$E$2:$G$700,2,FALSE))</f>
        <v>90000456</v>
      </c>
      <c r="I442" s="10" t="str">
        <f>IF(G442="","",VLOOKUP(G442,TemplateCode!$E$2:$G$700,3,FALSE))</f>
        <v>Ca ngày</v>
      </c>
    </row>
    <row r="443" spans="1:9" ht="15.75">
      <c r="A443" s="15">
        <v>43190030</v>
      </c>
      <c r="B443" s="15" t="s">
        <v>64</v>
      </c>
      <c r="C443" s="12" t="s">
        <v>117</v>
      </c>
      <c r="D443" s="11" t="s">
        <v>17</v>
      </c>
      <c r="E443" s="10" t="str">
        <f>IF(D443="","",VLOOKUP(D443,TemplateCode!$A$2:$C$999,2,FALSE))</f>
        <v>1440</v>
      </c>
      <c r="F443" s="10" t="str">
        <f>IF(D443="","",VLOOKUP(D443,TemplateCode!$A$2:$C$999,3,FALSE))</f>
        <v>Ngày thường</v>
      </c>
      <c r="G443" s="11" t="s">
        <v>52</v>
      </c>
      <c r="H443" s="10" t="str">
        <f>IF(G443="","",VLOOKUP(G443,TemplateCode!$E$2:$G$700,2,FALSE))</f>
        <v>90000456</v>
      </c>
      <c r="I443" s="10" t="str">
        <f>IF(G443="","",VLOOKUP(G443,TemplateCode!$E$2:$G$700,3,FALSE))</f>
        <v>Ca ngày</v>
      </c>
    </row>
    <row r="444" spans="1:9" ht="15.75">
      <c r="A444" s="15">
        <v>43190041</v>
      </c>
      <c r="B444" s="15" t="s">
        <v>65</v>
      </c>
      <c r="C444" s="12" t="s">
        <v>117</v>
      </c>
      <c r="D444" s="11" t="s">
        <v>17</v>
      </c>
      <c r="E444" s="10" t="str">
        <f>IF(D444="","",VLOOKUP(D444,TemplateCode!$A$2:$C$999,2,FALSE))</f>
        <v>1440</v>
      </c>
      <c r="F444" s="10" t="str">
        <f>IF(D444="","",VLOOKUP(D444,TemplateCode!$A$2:$C$999,3,FALSE))</f>
        <v>Ngày thường</v>
      </c>
      <c r="G444" s="11" t="s">
        <v>52</v>
      </c>
      <c r="H444" s="10" t="str">
        <f>IF(G444="","",VLOOKUP(G444,TemplateCode!$E$2:$G$700,2,FALSE))</f>
        <v>90000456</v>
      </c>
      <c r="I444" s="10" t="str">
        <f>IF(G444="","",VLOOKUP(G444,TemplateCode!$E$2:$G$700,3,FALSE))</f>
        <v>Ca ngày</v>
      </c>
    </row>
    <row r="445" spans="1:9" ht="15.75">
      <c r="A445" s="16">
        <v>43190065</v>
      </c>
      <c r="B445" s="15" t="s">
        <v>66</v>
      </c>
      <c r="C445" s="12" t="s">
        <v>117</v>
      </c>
      <c r="D445" s="11" t="s">
        <v>17</v>
      </c>
      <c r="E445" s="10" t="str">
        <f>IF(D445="","",VLOOKUP(D445,TemplateCode!$A$2:$C$999,2,FALSE))</f>
        <v>1440</v>
      </c>
      <c r="F445" s="10" t="str">
        <f>IF(D445="","",VLOOKUP(D445,TemplateCode!$A$2:$C$999,3,FALSE))</f>
        <v>Ngày thường</v>
      </c>
      <c r="G445" s="11" t="s">
        <v>52</v>
      </c>
      <c r="H445" s="10" t="str">
        <f>IF(G445="","",VLOOKUP(G445,TemplateCode!$E$2:$G$700,2,FALSE))</f>
        <v>90000456</v>
      </c>
      <c r="I445" s="10" t="str">
        <f>IF(G445="","",VLOOKUP(G445,TemplateCode!$E$2:$G$700,3,FALSE))</f>
        <v>Ca ngày</v>
      </c>
    </row>
    <row r="446" spans="1:9" ht="15.75">
      <c r="A446" s="16">
        <v>43190105</v>
      </c>
      <c r="B446" s="15" t="s">
        <v>67</v>
      </c>
      <c r="C446" s="12" t="s">
        <v>117</v>
      </c>
      <c r="D446" s="11" t="s">
        <v>17</v>
      </c>
      <c r="E446" s="10" t="str">
        <f>IF(D446="","",VLOOKUP(D446,TemplateCode!$A$2:$C$999,2,FALSE))</f>
        <v>1440</v>
      </c>
      <c r="F446" s="10" t="str">
        <f>IF(D446="","",VLOOKUP(D446,TemplateCode!$A$2:$C$999,3,FALSE))</f>
        <v>Ngày thường</v>
      </c>
      <c r="G446" s="11" t="s">
        <v>52</v>
      </c>
      <c r="H446" s="10" t="str">
        <f>IF(G446="","",VLOOKUP(G446,TemplateCode!$E$2:$G$700,2,FALSE))</f>
        <v>90000456</v>
      </c>
      <c r="I446" s="10" t="str">
        <f>IF(G446="","",VLOOKUP(G446,TemplateCode!$E$2:$G$700,3,FALSE))</f>
        <v>Ca ngày</v>
      </c>
    </row>
    <row r="447" spans="1:9" ht="15.75">
      <c r="A447" s="16">
        <v>43190109</v>
      </c>
      <c r="B447" s="17" t="s">
        <v>68</v>
      </c>
      <c r="C447" s="12" t="s">
        <v>117</v>
      </c>
      <c r="D447" s="11" t="s">
        <v>17</v>
      </c>
      <c r="E447" s="10" t="str">
        <f>IF(D447="","",VLOOKUP(D447,TemplateCode!$A$2:$C$999,2,FALSE))</f>
        <v>1440</v>
      </c>
      <c r="F447" s="10" t="str">
        <f>IF(D447="","",VLOOKUP(D447,TemplateCode!$A$2:$C$999,3,FALSE))</f>
        <v>Ngày thường</v>
      </c>
      <c r="G447" s="11" t="s">
        <v>52</v>
      </c>
      <c r="H447" s="10" t="str">
        <f>IF(G447="","",VLOOKUP(G447,TemplateCode!$E$2:$G$700,2,FALSE))</f>
        <v>90000456</v>
      </c>
      <c r="I447" s="10" t="str">
        <f>IF(G447="","",VLOOKUP(G447,TemplateCode!$E$2:$G$700,3,FALSE))</f>
        <v>Ca ngày</v>
      </c>
    </row>
    <row r="448" spans="1:9" ht="15.75">
      <c r="A448" s="18">
        <v>43190124</v>
      </c>
      <c r="B448" s="17" t="s">
        <v>69</v>
      </c>
      <c r="C448" s="12" t="s">
        <v>117</v>
      </c>
      <c r="D448" s="11" t="s">
        <v>17</v>
      </c>
      <c r="E448" s="10" t="str">
        <f>IF(D448="","",VLOOKUP(D448,TemplateCode!$A$2:$C$999,2,FALSE))</f>
        <v>1440</v>
      </c>
      <c r="F448" s="10" t="str">
        <f>IF(D448="","",VLOOKUP(D448,TemplateCode!$A$2:$C$999,3,FALSE))</f>
        <v>Ngày thường</v>
      </c>
      <c r="G448" s="11" t="s">
        <v>52</v>
      </c>
      <c r="H448" s="10" t="str">
        <f>IF(G448="","",VLOOKUP(G448,TemplateCode!$E$2:$G$700,2,FALSE))</f>
        <v>90000456</v>
      </c>
      <c r="I448" s="10" t="str">
        <f>IF(G448="","",VLOOKUP(G448,TemplateCode!$E$2:$G$700,3,FALSE))</f>
        <v>Ca ngày</v>
      </c>
    </row>
    <row r="449" spans="1:9" ht="15.75">
      <c r="A449" s="15">
        <v>43190125</v>
      </c>
      <c r="B449" s="15" t="s">
        <v>70</v>
      </c>
      <c r="C449" s="12" t="s">
        <v>117</v>
      </c>
      <c r="D449" s="11" t="s">
        <v>17</v>
      </c>
      <c r="E449" s="10" t="str">
        <f>IF(D449="","",VLOOKUP(D449,TemplateCode!$A$2:$C$999,2,FALSE))</f>
        <v>1440</v>
      </c>
      <c r="F449" s="10" t="str">
        <f>IF(D449="","",VLOOKUP(D449,TemplateCode!$A$2:$C$999,3,FALSE))</f>
        <v>Ngày thường</v>
      </c>
      <c r="G449" s="11" t="s">
        <v>52</v>
      </c>
      <c r="H449" s="10" t="str">
        <f>IF(G449="","",VLOOKUP(G449,TemplateCode!$E$2:$G$700,2,FALSE))</f>
        <v>90000456</v>
      </c>
      <c r="I449" s="10" t="str">
        <f>IF(G449="","",VLOOKUP(G449,TemplateCode!$E$2:$G$700,3,FALSE))</f>
        <v>Ca ngày</v>
      </c>
    </row>
    <row r="450" spans="1:9" ht="15.75">
      <c r="A450" s="15">
        <v>43190126</v>
      </c>
      <c r="B450" s="15" t="s">
        <v>71</v>
      </c>
      <c r="C450" s="12" t="s">
        <v>117</v>
      </c>
      <c r="D450" s="11" t="s">
        <v>17</v>
      </c>
      <c r="E450" s="10" t="str">
        <f>IF(D450="","",VLOOKUP(D450,TemplateCode!$A$2:$C$999,2,FALSE))</f>
        <v>1440</v>
      </c>
      <c r="F450" s="10" t="str">
        <f>IF(D450="","",VLOOKUP(D450,TemplateCode!$A$2:$C$999,3,FALSE))</f>
        <v>Ngày thường</v>
      </c>
      <c r="G450" s="11" t="s">
        <v>52</v>
      </c>
      <c r="H450" s="10" t="str">
        <f>IF(G450="","",VLOOKUP(G450,TemplateCode!$E$2:$G$700,2,FALSE))</f>
        <v>90000456</v>
      </c>
      <c r="I450" s="10" t="str">
        <f>IF(G450="","",VLOOKUP(G450,TemplateCode!$E$2:$G$700,3,FALSE))</f>
        <v>Ca ngày</v>
      </c>
    </row>
    <row r="451" spans="1:9" ht="15.75">
      <c r="A451" s="15">
        <v>43190169</v>
      </c>
      <c r="B451" s="15" t="s">
        <v>72</v>
      </c>
      <c r="C451" s="12" t="s">
        <v>117</v>
      </c>
      <c r="D451" s="11" t="s">
        <v>17</v>
      </c>
      <c r="E451" s="10" t="str">
        <f>IF(D451="","",VLOOKUP(D451,TemplateCode!$A$2:$C$999,2,FALSE))</f>
        <v>1440</v>
      </c>
      <c r="F451" s="10" t="str">
        <f>IF(D451="","",VLOOKUP(D451,TemplateCode!$A$2:$C$999,3,FALSE))</f>
        <v>Ngày thường</v>
      </c>
      <c r="G451" s="11" t="s">
        <v>52</v>
      </c>
      <c r="H451" s="10" t="str">
        <f>IF(G451="","",VLOOKUP(G451,TemplateCode!$E$2:$G$700,2,FALSE))</f>
        <v>90000456</v>
      </c>
      <c r="I451" s="10" t="str">
        <f>IF(G451="","",VLOOKUP(G451,TemplateCode!$E$2:$G$700,3,FALSE))</f>
        <v>Ca ngày</v>
      </c>
    </row>
    <row r="452" spans="1:9" ht="15.75">
      <c r="A452" s="16">
        <v>43190163</v>
      </c>
      <c r="B452" s="17" t="s">
        <v>73</v>
      </c>
      <c r="C452" s="12" t="s">
        <v>117</v>
      </c>
      <c r="D452" s="11" t="s">
        <v>17</v>
      </c>
      <c r="E452" s="10" t="str">
        <f>IF(D452="","",VLOOKUP(D452,TemplateCode!$A$2:$C$999,2,FALSE))</f>
        <v>1440</v>
      </c>
      <c r="F452" s="10" t="str">
        <f>IF(D452="","",VLOOKUP(D452,TemplateCode!$A$2:$C$999,3,FALSE))</f>
        <v>Ngày thường</v>
      </c>
      <c r="G452" s="11" t="s">
        <v>52</v>
      </c>
      <c r="H452" s="10" t="str">
        <f>IF(G452="","",VLOOKUP(G452,TemplateCode!$E$2:$G$700,2,FALSE))</f>
        <v>90000456</v>
      </c>
      <c r="I452" s="10" t="str">
        <f>IF(G452="","",VLOOKUP(G452,TemplateCode!$E$2:$G$700,3,FALSE))</f>
        <v>Ca ngày</v>
      </c>
    </row>
    <row r="453" spans="1:9" ht="15.75">
      <c r="A453" s="19">
        <v>43190435</v>
      </c>
      <c r="B453" s="20" t="s">
        <v>74</v>
      </c>
      <c r="C453" s="12" t="s">
        <v>117</v>
      </c>
      <c r="D453" s="11" t="s">
        <v>17</v>
      </c>
      <c r="E453" s="10" t="str">
        <f>IF(D453="","",VLOOKUP(D453,TemplateCode!$A$2:$C$999,2,FALSE))</f>
        <v>1440</v>
      </c>
      <c r="F453" s="10" t="str">
        <f>IF(D453="","",VLOOKUP(D453,TemplateCode!$A$2:$C$999,3,FALSE))</f>
        <v>Ngày thường</v>
      </c>
      <c r="G453" s="11" t="s">
        <v>52</v>
      </c>
      <c r="H453" s="10" t="str">
        <f>IF(G453="","",VLOOKUP(G453,TemplateCode!$E$2:$G$700,2,FALSE))</f>
        <v>90000456</v>
      </c>
      <c r="I453" s="10" t="str">
        <f>IF(G453="","",VLOOKUP(G453,TemplateCode!$E$2:$G$700,3,FALSE))</f>
        <v>Ca ngày</v>
      </c>
    </row>
    <row r="454" spans="1:9" ht="15.75">
      <c r="A454" s="21">
        <v>43190459</v>
      </c>
      <c r="B454" s="20" t="s">
        <v>75</v>
      </c>
      <c r="C454" s="12" t="s">
        <v>117</v>
      </c>
      <c r="D454" s="11" t="s">
        <v>17</v>
      </c>
      <c r="E454" s="10" t="str">
        <f>IF(D454="","",VLOOKUP(D454,TemplateCode!$A$2:$C$999,2,FALSE))</f>
        <v>1440</v>
      </c>
      <c r="F454" s="10" t="str">
        <f>IF(D454="","",VLOOKUP(D454,TemplateCode!$A$2:$C$999,3,FALSE))</f>
        <v>Ngày thường</v>
      </c>
      <c r="G454" s="11" t="s">
        <v>52</v>
      </c>
      <c r="H454" s="10" t="str">
        <f>IF(G454="","",VLOOKUP(G454,TemplateCode!$E$2:$G$700,2,FALSE))</f>
        <v>90000456</v>
      </c>
      <c r="I454" s="10" t="str">
        <f>IF(G454="","",VLOOKUP(G454,TemplateCode!$E$2:$G$700,3,FALSE))</f>
        <v>Ca ngày</v>
      </c>
    </row>
    <row r="455" spans="1:9" ht="15.75">
      <c r="A455" s="19">
        <v>43190506</v>
      </c>
      <c r="B455" s="20" t="s">
        <v>76</v>
      </c>
      <c r="C455" s="12" t="s">
        <v>117</v>
      </c>
      <c r="D455" s="11" t="s">
        <v>17</v>
      </c>
      <c r="E455" s="10" t="str">
        <f>IF(D455="","",VLOOKUP(D455,TemplateCode!$A$2:$C$999,2,FALSE))</f>
        <v>1440</v>
      </c>
      <c r="F455" s="10" t="str">
        <f>IF(D455="","",VLOOKUP(D455,TemplateCode!$A$2:$C$999,3,FALSE))</f>
        <v>Ngày thường</v>
      </c>
      <c r="G455" s="11" t="s">
        <v>52</v>
      </c>
      <c r="H455" s="10" t="str">
        <f>IF(G455="","",VLOOKUP(G455,TemplateCode!$E$2:$G$700,2,FALSE))</f>
        <v>90000456</v>
      </c>
      <c r="I455" s="10" t="str">
        <f>IF(G455="","",VLOOKUP(G455,TemplateCode!$E$2:$G$700,3,FALSE))</f>
        <v>Ca ngày</v>
      </c>
    </row>
    <row r="456" spans="1:9" ht="15.75">
      <c r="A456" s="22">
        <v>43190785</v>
      </c>
      <c r="B456" s="22" t="s">
        <v>77</v>
      </c>
      <c r="C456" s="12" t="s">
        <v>117</v>
      </c>
      <c r="D456" s="11" t="s">
        <v>17</v>
      </c>
      <c r="E456" s="10" t="str">
        <f>IF(D456="","",VLOOKUP(D456,TemplateCode!$A$2:$C$999,2,FALSE))</f>
        <v>1440</v>
      </c>
      <c r="F456" s="10" t="str">
        <f>IF(D456="","",VLOOKUP(D456,TemplateCode!$A$2:$C$999,3,FALSE))</f>
        <v>Ngày thường</v>
      </c>
      <c r="G456" s="11" t="s">
        <v>52</v>
      </c>
      <c r="H456" s="10" t="str">
        <f>IF(G456="","",VLOOKUP(G456,TemplateCode!$E$2:$G$700,2,FALSE))</f>
        <v>90000456</v>
      </c>
      <c r="I456" s="10" t="str">
        <f>IF(G456="","",VLOOKUP(G456,TemplateCode!$E$2:$G$700,3,FALSE))</f>
        <v>Ca ngày</v>
      </c>
    </row>
    <row r="457" spans="1:9" ht="18.75">
      <c r="A457" s="13">
        <v>43190799</v>
      </c>
      <c r="B457" s="23" t="s">
        <v>78</v>
      </c>
      <c r="C457" s="12" t="s">
        <v>117</v>
      </c>
      <c r="D457" s="11" t="s">
        <v>17</v>
      </c>
      <c r="E457" s="10" t="str">
        <f>IF(D457="","",VLOOKUP(D457,TemplateCode!$A$2:$C$999,2,FALSE))</f>
        <v>1440</v>
      </c>
      <c r="F457" s="10" t="str">
        <f>IF(D457="","",VLOOKUP(D457,TemplateCode!$A$2:$C$999,3,FALSE))</f>
        <v>Ngày thường</v>
      </c>
      <c r="G457" s="11" t="s">
        <v>52</v>
      </c>
      <c r="H457" s="10" t="str">
        <f>IF(G457="","",VLOOKUP(G457,TemplateCode!$E$2:$G$700,2,FALSE))</f>
        <v>90000456</v>
      </c>
      <c r="I457" s="10" t="str">
        <f>IF(G457="","",VLOOKUP(G457,TemplateCode!$E$2:$G$700,3,FALSE))</f>
        <v>Ca ngày</v>
      </c>
    </row>
    <row r="458" spans="1:9" ht="18.75">
      <c r="A458" s="13">
        <v>43190800</v>
      </c>
      <c r="B458" s="23" t="s">
        <v>79</v>
      </c>
      <c r="C458" s="12" t="s">
        <v>117</v>
      </c>
      <c r="D458" s="11" t="s">
        <v>17</v>
      </c>
      <c r="E458" s="10" t="str">
        <f>IF(D458="","",VLOOKUP(D458,TemplateCode!$A$2:$C$999,2,FALSE))</f>
        <v>1440</v>
      </c>
      <c r="F458" s="10" t="str">
        <f>IF(D458="","",VLOOKUP(D458,TemplateCode!$A$2:$C$999,3,FALSE))</f>
        <v>Ngày thường</v>
      </c>
      <c r="G458" s="11" t="s">
        <v>52</v>
      </c>
      <c r="H458" s="10" t="str">
        <f>IF(G458="","",VLOOKUP(G458,TemplateCode!$E$2:$G$700,2,FALSE))</f>
        <v>90000456</v>
      </c>
      <c r="I458" s="10" t="str">
        <f>IF(G458="","",VLOOKUP(G458,TemplateCode!$E$2:$G$700,3,FALSE))</f>
        <v>Ca ngày</v>
      </c>
    </row>
    <row r="459" spans="1:9" ht="15.75">
      <c r="A459" s="24">
        <v>43190817</v>
      </c>
      <c r="B459" s="25" t="s">
        <v>80</v>
      </c>
      <c r="C459" s="12" t="s">
        <v>117</v>
      </c>
      <c r="D459" s="11" t="s">
        <v>17</v>
      </c>
      <c r="E459" s="10" t="str">
        <f>IF(D459="","",VLOOKUP(D459,TemplateCode!$A$2:$C$999,2,FALSE))</f>
        <v>1440</v>
      </c>
      <c r="F459" s="10" t="str">
        <f>IF(D459="","",VLOOKUP(D459,TemplateCode!$A$2:$C$999,3,FALSE))</f>
        <v>Ngày thường</v>
      </c>
      <c r="G459" s="11" t="s">
        <v>52</v>
      </c>
      <c r="H459" s="10" t="str">
        <f>IF(G459="","",VLOOKUP(G459,TemplateCode!$E$2:$G$700,2,FALSE))</f>
        <v>90000456</v>
      </c>
      <c r="I459" s="10" t="str">
        <f>IF(G459="","",VLOOKUP(G459,TemplateCode!$E$2:$G$700,3,FALSE))</f>
        <v>Ca ngày</v>
      </c>
    </row>
    <row r="460" spans="1:9" ht="15.75">
      <c r="A460" s="26">
        <v>43190892</v>
      </c>
      <c r="B460" s="22" t="s">
        <v>81</v>
      </c>
      <c r="C460" s="12" t="s">
        <v>117</v>
      </c>
      <c r="D460" s="11" t="s">
        <v>17</v>
      </c>
      <c r="E460" s="10" t="str">
        <f>IF(D460="","",VLOOKUP(D460,TemplateCode!$A$2:$C$999,2,FALSE))</f>
        <v>1440</v>
      </c>
      <c r="F460" s="10" t="str">
        <f>IF(D460="","",VLOOKUP(D460,TemplateCode!$A$2:$C$999,3,FALSE))</f>
        <v>Ngày thường</v>
      </c>
      <c r="G460" s="11" t="s">
        <v>52</v>
      </c>
      <c r="H460" s="10" t="str">
        <f>IF(G460="","",VLOOKUP(G460,TemplateCode!$E$2:$G$700,2,FALSE))</f>
        <v>90000456</v>
      </c>
      <c r="I460" s="10" t="str">
        <f>IF(G460="","",VLOOKUP(G460,TemplateCode!$E$2:$G$700,3,FALSE))</f>
        <v>Ca ngày</v>
      </c>
    </row>
    <row r="461" spans="1:9" ht="15.75">
      <c r="A461" s="26">
        <v>43190893</v>
      </c>
      <c r="B461" s="22" t="s">
        <v>82</v>
      </c>
      <c r="C461" s="12" t="s">
        <v>117</v>
      </c>
      <c r="D461" s="11" t="s">
        <v>17</v>
      </c>
      <c r="E461" s="10" t="str">
        <f>IF(D461="","",VLOOKUP(D461,TemplateCode!$A$2:$C$999,2,FALSE))</f>
        <v>1440</v>
      </c>
      <c r="F461" s="10" t="str">
        <f>IF(D461="","",VLOOKUP(D461,TemplateCode!$A$2:$C$999,3,FALSE))</f>
        <v>Ngày thường</v>
      </c>
      <c r="G461" s="11" t="s">
        <v>52</v>
      </c>
      <c r="H461" s="10" t="str">
        <f>IF(G461="","",VLOOKUP(G461,TemplateCode!$E$2:$G$700,2,FALSE))</f>
        <v>90000456</v>
      </c>
      <c r="I461" s="10" t="str">
        <f>IF(G461="","",VLOOKUP(G461,TemplateCode!$E$2:$G$700,3,FALSE))</f>
        <v>Ca ngày</v>
      </c>
    </row>
    <row r="462" spans="1:9" ht="15.75">
      <c r="A462" s="27">
        <v>43190244</v>
      </c>
      <c r="B462" s="28" t="s">
        <v>84</v>
      </c>
      <c r="C462" s="29" t="s">
        <v>117</v>
      </c>
      <c r="D462" s="30" t="s">
        <v>17</v>
      </c>
      <c r="E462" s="31" t="str">
        <f>IF(D462="","",VLOOKUP(D462,TemplateCode!$A$2:$C$999,2,FALSE))</f>
        <v>1440</v>
      </c>
      <c r="F462" s="31" t="str">
        <f>IF(D462="","",VLOOKUP(D462,TemplateCode!$A$2:$C$999,3,FALSE))</f>
        <v>Ngày thường</v>
      </c>
      <c r="G462" s="30" t="s">
        <v>31</v>
      </c>
      <c r="H462" s="31" t="str">
        <f>IF(G462="","",VLOOKUP(G462,TemplateCode!$E$2:$G$700,2,FALSE))</f>
        <v>14015595</v>
      </c>
      <c r="I462" s="31" t="str">
        <f>IF(G462="","",VLOOKUP(G462,TemplateCode!$E$2:$G$700,3,FALSE))</f>
        <v>Ca đêm</v>
      </c>
    </row>
    <row r="463" spans="1:9" ht="15.75">
      <c r="A463" s="32">
        <v>43190464</v>
      </c>
      <c r="B463" s="33" t="s">
        <v>85</v>
      </c>
      <c r="C463" s="29" t="s">
        <v>117</v>
      </c>
      <c r="D463" s="30" t="s">
        <v>17</v>
      </c>
      <c r="E463" s="31" t="str">
        <f>IF(D463="","",VLOOKUP(D463,TemplateCode!$A$2:$C$999,2,FALSE))</f>
        <v>1440</v>
      </c>
      <c r="F463" s="31" t="str">
        <f>IF(D463="","",VLOOKUP(D463,TemplateCode!$A$2:$C$999,3,FALSE))</f>
        <v>Ngày thường</v>
      </c>
      <c r="G463" s="30" t="s">
        <v>31</v>
      </c>
      <c r="H463" s="31" t="str">
        <f>IF(G463="","",VLOOKUP(G463,TemplateCode!$E$2:$G$700,2,FALSE))</f>
        <v>14015595</v>
      </c>
      <c r="I463" s="31" t="str">
        <f>IF(G463="","",VLOOKUP(G463,TemplateCode!$E$2:$G$700,3,FALSE))</f>
        <v>Ca đêm</v>
      </c>
    </row>
    <row r="464" spans="1:9" ht="15.75">
      <c r="A464" s="34">
        <v>43180875</v>
      </c>
      <c r="B464" s="34" t="s">
        <v>86</v>
      </c>
      <c r="C464" s="29" t="s">
        <v>117</v>
      </c>
      <c r="D464" s="30" t="s">
        <v>17</v>
      </c>
      <c r="E464" s="31" t="str">
        <f>IF(D464="","",VLOOKUP(D464,TemplateCode!$A$2:$C$999,2,FALSE))</f>
        <v>1440</v>
      </c>
      <c r="F464" s="31" t="str">
        <f>IF(D464="","",VLOOKUP(D464,TemplateCode!$A$2:$C$999,3,FALSE))</f>
        <v>Ngày thường</v>
      </c>
      <c r="G464" s="30" t="s">
        <v>31</v>
      </c>
      <c r="H464" s="31" t="str">
        <f>IF(G464="","",VLOOKUP(G464,TemplateCode!$E$2:$G$700,2,FALSE))</f>
        <v>14015595</v>
      </c>
      <c r="I464" s="31" t="str">
        <f>IF(G464="","",VLOOKUP(G464,TemplateCode!$E$2:$G$700,3,FALSE))</f>
        <v>Ca đêm</v>
      </c>
    </row>
    <row r="465" spans="1:9" ht="15.75">
      <c r="A465" s="34">
        <v>43180879</v>
      </c>
      <c r="B465" s="34" t="s">
        <v>87</v>
      </c>
      <c r="C465" s="29" t="s">
        <v>117</v>
      </c>
      <c r="D465" s="30" t="s">
        <v>17</v>
      </c>
      <c r="E465" s="31" t="str">
        <f>IF(D465="","",VLOOKUP(D465,TemplateCode!$A$2:$C$999,2,FALSE))</f>
        <v>1440</v>
      </c>
      <c r="F465" s="31" t="str">
        <f>IF(D465="","",VLOOKUP(D465,TemplateCode!$A$2:$C$999,3,FALSE))</f>
        <v>Ngày thường</v>
      </c>
      <c r="G465" s="30" t="s">
        <v>31</v>
      </c>
      <c r="H465" s="31" t="str">
        <f>IF(G465="","",VLOOKUP(G465,TemplateCode!$E$2:$G$700,2,FALSE))</f>
        <v>14015595</v>
      </c>
      <c r="I465" s="31" t="str">
        <f>IF(G465="","",VLOOKUP(G465,TemplateCode!$E$2:$G$700,3,FALSE))</f>
        <v>Ca đêm</v>
      </c>
    </row>
    <row r="466" spans="1:9" ht="15.75">
      <c r="A466" s="27">
        <v>43181074</v>
      </c>
      <c r="B466" s="34" t="s">
        <v>88</v>
      </c>
      <c r="C466" s="29" t="s">
        <v>117</v>
      </c>
      <c r="D466" s="30" t="s">
        <v>17</v>
      </c>
      <c r="E466" s="31" t="str">
        <f>IF(D466="","",VLOOKUP(D466,TemplateCode!$A$2:$C$999,2,FALSE))</f>
        <v>1440</v>
      </c>
      <c r="F466" s="31" t="str">
        <f>IF(D466="","",VLOOKUP(D466,TemplateCode!$A$2:$C$999,3,FALSE))</f>
        <v>Ngày thường</v>
      </c>
      <c r="G466" s="30" t="s">
        <v>31</v>
      </c>
      <c r="H466" s="31" t="str">
        <f>IF(G466="","",VLOOKUP(G466,TemplateCode!$E$2:$G$700,2,FALSE))</f>
        <v>14015595</v>
      </c>
      <c r="I466" s="31" t="str">
        <f>IF(G466="","",VLOOKUP(G466,TemplateCode!$E$2:$G$700,3,FALSE))</f>
        <v>Ca đêm</v>
      </c>
    </row>
    <row r="467" spans="1:9" ht="15.75">
      <c r="A467" s="35">
        <v>43180750</v>
      </c>
      <c r="B467" s="28" t="s">
        <v>89</v>
      </c>
      <c r="C467" s="29" t="s">
        <v>117</v>
      </c>
      <c r="D467" s="30" t="s">
        <v>17</v>
      </c>
      <c r="E467" s="31" t="str">
        <f>IF(D467="","",VLOOKUP(D467,TemplateCode!$A$2:$C$999,2,FALSE))</f>
        <v>1440</v>
      </c>
      <c r="F467" s="31" t="str">
        <f>IF(D467="","",VLOOKUP(D467,TemplateCode!$A$2:$C$999,3,FALSE))</f>
        <v>Ngày thường</v>
      </c>
      <c r="G467" s="30" t="s">
        <v>31</v>
      </c>
      <c r="H467" s="31" t="str">
        <f>IF(G467="","",VLOOKUP(G467,TemplateCode!$E$2:$G$700,2,FALSE))</f>
        <v>14015595</v>
      </c>
      <c r="I467" s="31" t="str">
        <f>IF(G467="","",VLOOKUP(G467,TemplateCode!$E$2:$G$700,3,FALSE))</f>
        <v>Ca đêm</v>
      </c>
    </row>
    <row r="468" spans="1:9" ht="15.75">
      <c r="A468" s="35">
        <v>43181362</v>
      </c>
      <c r="B468" s="28" t="s">
        <v>90</v>
      </c>
      <c r="C468" s="29" t="s">
        <v>117</v>
      </c>
      <c r="D468" s="30" t="s">
        <v>17</v>
      </c>
      <c r="E468" s="31" t="str">
        <f>IF(D468="","",VLOOKUP(D468,TemplateCode!$A$2:$C$999,2,FALSE))</f>
        <v>1440</v>
      </c>
      <c r="F468" s="31" t="str">
        <f>IF(D468="","",VLOOKUP(D468,TemplateCode!$A$2:$C$999,3,FALSE))</f>
        <v>Ngày thường</v>
      </c>
      <c r="G468" s="30" t="s">
        <v>31</v>
      </c>
      <c r="H468" s="31" t="str">
        <f>IF(G468="","",VLOOKUP(G468,TemplateCode!$E$2:$G$700,2,FALSE))</f>
        <v>14015595</v>
      </c>
      <c r="I468" s="31" t="str">
        <f>IF(G468="","",VLOOKUP(G468,TemplateCode!$E$2:$G$700,3,FALSE))</f>
        <v>Ca đêm</v>
      </c>
    </row>
    <row r="469" spans="1:9" ht="15.75">
      <c r="A469" s="35">
        <v>43181479</v>
      </c>
      <c r="B469" s="28" t="s">
        <v>91</v>
      </c>
      <c r="C469" s="29" t="s">
        <v>117</v>
      </c>
      <c r="D469" s="30" t="s">
        <v>17</v>
      </c>
      <c r="E469" s="31" t="str">
        <f>IF(D469="","",VLOOKUP(D469,TemplateCode!$A$2:$C$999,2,FALSE))</f>
        <v>1440</v>
      </c>
      <c r="F469" s="31" t="str">
        <f>IF(D469="","",VLOOKUP(D469,TemplateCode!$A$2:$C$999,3,FALSE))</f>
        <v>Ngày thường</v>
      </c>
      <c r="G469" s="30" t="s">
        <v>31</v>
      </c>
      <c r="H469" s="31" t="str">
        <f>IF(G469="","",VLOOKUP(G469,TemplateCode!$E$2:$G$700,2,FALSE))</f>
        <v>14015595</v>
      </c>
      <c r="I469" s="31" t="str">
        <f>IF(G469="","",VLOOKUP(G469,TemplateCode!$E$2:$G$700,3,FALSE))</f>
        <v>Ca đêm</v>
      </c>
    </row>
    <row r="470" spans="1:9" ht="15.75">
      <c r="A470" s="35">
        <v>43190068</v>
      </c>
      <c r="B470" s="28" t="s">
        <v>92</v>
      </c>
      <c r="C470" s="29" t="s">
        <v>117</v>
      </c>
      <c r="D470" s="30" t="s">
        <v>17</v>
      </c>
      <c r="E470" s="31" t="str">
        <f>IF(D470="","",VLOOKUP(D470,TemplateCode!$A$2:$C$999,2,FALSE))</f>
        <v>1440</v>
      </c>
      <c r="F470" s="31" t="str">
        <f>IF(D470="","",VLOOKUP(D470,TemplateCode!$A$2:$C$999,3,FALSE))</f>
        <v>Ngày thường</v>
      </c>
      <c r="G470" s="30" t="s">
        <v>31</v>
      </c>
      <c r="H470" s="31" t="str">
        <f>IF(G470="","",VLOOKUP(G470,TemplateCode!$E$2:$G$700,2,FALSE))</f>
        <v>14015595</v>
      </c>
      <c r="I470" s="31" t="str">
        <f>IF(G470="","",VLOOKUP(G470,TemplateCode!$E$2:$G$700,3,FALSE))</f>
        <v>Ca đêm</v>
      </c>
    </row>
    <row r="471" spans="1:9" ht="15.75">
      <c r="A471" s="35">
        <v>43190084</v>
      </c>
      <c r="B471" s="28" t="s">
        <v>93</v>
      </c>
      <c r="C471" s="29" t="s">
        <v>117</v>
      </c>
      <c r="D471" s="30" t="s">
        <v>17</v>
      </c>
      <c r="E471" s="31" t="str">
        <f>IF(D471="","",VLOOKUP(D471,TemplateCode!$A$2:$C$999,2,FALSE))</f>
        <v>1440</v>
      </c>
      <c r="F471" s="31" t="str">
        <f>IF(D471="","",VLOOKUP(D471,TemplateCode!$A$2:$C$999,3,FALSE))</f>
        <v>Ngày thường</v>
      </c>
      <c r="G471" s="30" t="s">
        <v>31</v>
      </c>
      <c r="H471" s="31" t="str">
        <f>IF(G471="","",VLOOKUP(G471,TemplateCode!$E$2:$G$700,2,FALSE))</f>
        <v>14015595</v>
      </c>
      <c r="I471" s="31" t="str">
        <f>IF(G471="","",VLOOKUP(G471,TemplateCode!$E$2:$G$700,3,FALSE))</f>
        <v>Ca đêm</v>
      </c>
    </row>
    <row r="472" spans="1:9" ht="15.75">
      <c r="A472" s="27">
        <v>43190108</v>
      </c>
      <c r="B472" s="28" t="s">
        <v>94</v>
      </c>
      <c r="C472" s="29" t="s">
        <v>117</v>
      </c>
      <c r="D472" s="30" t="s">
        <v>17</v>
      </c>
      <c r="E472" s="31" t="str">
        <f>IF(D472="","",VLOOKUP(D472,TemplateCode!$A$2:$C$999,2,FALSE))</f>
        <v>1440</v>
      </c>
      <c r="F472" s="31" t="str">
        <f>IF(D472="","",VLOOKUP(D472,TemplateCode!$A$2:$C$999,3,FALSE))</f>
        <v>Ngày thường</v>
      </c>
      <c r="G472" s="30" t="s">
        <v>31</v>
      </c>
      <c r="H472" s="31" t="str">
        <f>IF(G472="","",VLOOKUP(G472,TemplateCode!$E$2:$G$700,2,FALSE))</f>
        <v>14015595</v>
      </c>
      <c r="I472" s="31" t="str">
        <f>IF(G472="","",VLOOKUP(G472,TemplateCode!$E$2:$G$700,3,FALSE))</f>
        <v>Ca đêm</v>
      </c>
    </row>
    <row r="473" spans="1:9" ht="15.75">
      <c r="A473" s="34">
        <v>43190107</v>
      </c>
      <c r="B473" s="34" t="s">
        <v>95</v>
      </c>
      <c r="C473" s="29" t="s">
        <v>117</v>
      </c>
      <c r="D473" s="30" t="s">
        <v>17</v>
      </c>
      <c r="E473" s="31" t="str">
        <f>IF(D473="","",VLOOKUP(D473,TemplateCode!$A$2:$C$999,2,FALSE))</f>
        <v>1440</v>
      </c>
      <c r="F473" s="31" t="str">
        <f>IF(D473="","",VLOOKUP(D473,TemplateCode!$A$2:$C$999,3,FALSE))</f>
        <v>Ngày thường</v>
      </c>
      <c r="G473" s="30" t="s">
        <v>31</v>
      </c>
      <c r="H473" s="31" t="str">
        <f>IF(G473="","",VLOOKUP(G473,TemplateCode!$E$2:$G$700,2,FALSE))</f>
        <v>14015595</v>
      </c>
      <c r="I473" s="31" t="str">
        <f>IF(G473="","",VLOOKUP(G473,TemplateCode!$E$2:$G$700,3,FALSE))</f>
        <v>Ca đêm</v>
      </c>
    </row>
    <row r="474" spans="1:9" ht="15.75">
      <c r="A474" s="27">
        <v>43190129</v>
      </c>
      <c r="B474" s="28" t="s">
        <v>96</v>
      </c>
      <c r="C474" s="29" t="s">
        <v>117</v>
      </c>
      <c r="D474" s="30" t="s">
        <v>17</v>
      </c>
      <c r="E474" s="31" t="str">
        <f>IF(D474="","",VLOOKUP(D474,TemplateCode!$A$2:$C$999,2,FALSE))</f>
        <v>1440</v>
      </c>
      <c r="F474" s="31" t="str">
        <f>IF(D474="","",VLOOKUP(D474,TemplateCode!$A$2:$C$999,3,FALSE))</f>
        <v>Ngày thường</v>
      </c>
      <c r="G474" s="30" t="s">
        <v>31</v>
      </c>
      <c r="H474" s="31" t="str">
        <f>IF(G474="","",VLOOKUP(G474,TemplateCode!$E$2:$G$700,2,FALSE))</f>
        <v>14015595</v>
      </c>
      <c r="I474" s="31" t="str">
        <f>IF(G474="","",VLOOKUP(G474,TemplateCode!$E$2:$G$700,3,FALSE))</f>
        <v>Ca đêm</v>
      </c>
    </row>
    <row r="475" spans="1:9" ht="15.75">
      <c r="A475" s="34">
        <v>43190248</v>
      </c>
      <c r="B475" s="34" t="s">
        <v>97</v>
      </c>
      <c r="C475" s="29" t="s">
        <v>117</v>
      </c>
      <c r="D475" s="30" t="s">
        <v>17</v>
      </c>
      <c r="E475" s="31" t="str">
        <f>IF(D475="","",VLOOKUP(D475,TemplateCode!$A$2:$C$999,2,FALSE))</f>
        <v>1440</v>
      </c>
      <c r="F475" s="31" t="str">
        <f>IF(D475="","",VLOOKUP(D475,TemplateCode!$A$2:$C$999,3,FALSE))</f>
        <v>Ngày thường</v>
      </c>
      <c r="G475" s="30" t="s">
        <v>31</v>
      </c>
      <c r="H475" s="31" t="str">
        <f>IF(G475="","",VLOOKUP(G475,TemplateCode!$E$2:$G$700,2,FALSE))</f>
        <v>14015595</v>
      </c>
      <c r="I475" s="31" t="str">
        <f>IF(G475="","",VLOOKUP(G475,TemplateCode!$E$2:$G$700,3,FALSE))</f>
        <v>Ca đêm</v>
      </c>
    </row>
    <row r="476" spans="1:9" ht="15.75">
      <c r="A476" s="34">
        <v>43190251</v>
      </c>
      <c r="B476" s="34" t="s">
        <v>98</v>
      </c>
      <c r="C476" s="29" t="s">
        <v>117</v>
      </c>
      <c r="D476" s="30" t="s">
        <v>17</v>
      </c>
      <c r="E476" s="31" t="str">
        <f>IF(D476="","",VLOOKUP(D476,TemplateCode!$A$2:$C$999,2,FALSE))</f>
        <v>1440</v>
      </c>
      <c r="F476" s="31" t="str">
        <f>IF(D476="","",VLOOKUP(D476,TemplateCode!$A$2:$C$999,3,FALSE))</f>
        <v>Ngày thường</v>
      </c>
      <c r="G476" s="30" t="s">
        <v>31</v>
      </c>
      <c r="H476" s="31" t="str">
        <f>IF(G476="","",VLOOKUP(G476,TemplateCode!$E$2:$G$700,2,FALSE))</f>
        <v>14015595</v>
      </c>
      <c r="I476" s="31" t="str">
        <f>IF(G476="","",VLOOKUP(G476,TemplateCode!$E$2:$G$700,3,FALSE))</f>
        <v>Ca đêm</v>
      </c>
    </row>
    <row r="477" spans="1:9" ht="15.75">
      <c r="A477" s="34">
        <v>43190278</v>
      </c>
      <c r="B477" s="34" t="s">
        <v>99</v>
      </c>
      <c r="C477" s="29" t="s">
        <v>117</v>
      </c>
      <c r="D477" s="30" t="s">
        <v>17</v>
      </c>
      <c r="E477" s="31" t="str">
        <f>IF(D477="","",VLOOKUP(D477,TemplateCode!$A$2:$C$999,2,FALSE))</f>
        <v>1440</v>
      </c>
      <c r="F477" s="31" t="str">
        <f>IF(D477="","",VLOOKUP(D477,TemplateCode!$A$2:$C$999,3,FALSE))</f>
        <v>Ngày thường</v>
      </c>
      <c r="G477" s="30" t="s">
        <v>31</v>
      </c>
      <c r="H477" s="31" t="str">
        <f>IF(G477="","",VLOOKUP(G477,TemplateCode!$E$2:$G$700,2,FALSE))</f>
        <v>14015595</v>
      </c>
      <c r="I477" s="31" t="str">
        <f>IF(G477="","",VLOOKUP(G477,TemplateCode!$E$2:$G$700,3,FALSE))</f>
        <v>Ca đêm</v>
      </c>
    </row>
    <row r="478" spans="1:9" ht="15.75">
      <c r="A478" s="36">
        <v>43190385</v>
      </c>
      <c r="B478" s="33" t="s">
        <v>100</v>
      </c>
      <c r="C478" s="29" t="s">
        <v>117</v>
      </c>
      <c r="D478" s="30" t="s">
        <v>17</v>
      </c>
      <c r="E478" s="31" t="str">
        <f>IF(D478="","",VLOOKUP(D478,TemplateCode!$A$2:$C$999,2,FALSE))</f>
        <v>1440</v>
      </c>
      <c r="F478" s="31" t="str">
        <f>IF(D478="","",VLOOKUP(D478,TemplateCode!$A$2:$C$999,3,FALSE))</f>
        <v>Ngày thường</v>
      </c>
      <c r="G478" s="30" t="s">
        <v>31</v>
      </c>
      <c r="H478" s="31" t="str">
        <f>IF(G478="","",VLOOKUP(G478,TemplateCode!$E$2:$G$700,2,FALSE))</f>
        <v>14015595</v>
      </c>
      <c r="I478" s="31" t="str">
        <f>IF(G478="","",VLOOKUP(G478,TemplateCode!$E$2:$G$700,3,FALSE))</f>
        <v>Ca đêm</v>
      </c>
    </row>
    <row r="479" spans="1:9" ht="15.75">
      <c r="A479" s="36">
        <v>43190389</v>
      </c>
      <c r="B479" s="33" t="s">
        <v>101</v>
      </c>
      <c r="C479" s="29" t="s">
        <v>117</v>
      </c>
      <c r="D479" s="30" t="s">
        <v>17</v>
      </c>
      <c r="E479" s="31" t="str">
        <f>IF(D479="","",VLOOKUP(D479,TemplateCode!$A$2:$C$999,2,FALSE))</f>
        <v>1440</v>
      </c>
      <c r="F479" s="31" t="str">
        <f>IF(D479="","",VLOOKUP(D479,TemplateCode!$A$2:$C$999,3,FALSE))</f>
        <v>Ngày thường</v>
      </c>
      <c r="G479" s="30" t="s">
        <v>31</v>
      </c>
      <c r="H479" s="31" t="str">
        <f>IF(G479="","",VLOOKUP(G479,TemplateCode!$E$2:$G$700,2,FALSE))</f>
        <v>14015595</v>
      </c>
      <c r="I479" s="31" t="str">
        <f>IF(G479="","",VLOOKUP(G479,TemplateCode!$E$2:$G$700,3,FALSE))</f>
        <v>Ca đêm</v>
      </c>
    </row>
    <row r="480" spans="1:9" ht="15.75">
      <c r="A480" s="35">
        <v>43181469</v>
      </c>
      <c r="B480" s="28" t="s">
        <v>102</v>
      </c>
      <c r="C480" s="29" t="s">
        <v>117</v>
      </c>
      <c r="D480" s="30" t="s">
        <v>17</v>
      </c>
      <c r="E480" s="31" t="str">
        <f>IF(D480="","",VLOOKUP(D480,TemplateCode!$A$2:$C$999,2,FALSE))</f>
        <v>1440</v>
      </c>
      <c r="F480" s="31" t="str">
        <f>IF(D480="","",VLOOKUP(D480,TemplateCode!$A$2:$C$999,3,FALSE))</f>
        <v>Ngày thường</v>
      </c>
      <c r="G480" s="30" t="s">
        <v>31</v>
      </c>
      <c r="H480" s="31" t="str">
        <f>IF(G480="","",VLOOKUP(G480,TemplateCode!$E$2:$G$700,2,FALSE))</f>
        <v>14015595</v>
      </c>
      <c r="I480" s="31" t="str">
        <f>IF(G480="","",VLOOKUP(G480,TemplateCode!$E$2:$G$700,3,FALSE))</f>
        <v>Ca đêm</v>
      </c>
    </row>
    <row r="481" spans="1:9" ht="15.75">
      <c r="A481" s="36">
        <v>43190403</v>
      </c>
      <c r="B481" s="33" t="s">
        <v>103</v>
      </c>
      <c r="C481" s="29" t="s">
        <v>117</v>
      </c>
      <c r="D481" s="30" t="s">
        <v>17</v>
      </c>
      <c r="E481" s="31" t="str">
        <f>IF(D481="","",VLOOKUP(D481,TemplateCode!$A$2:$C$999,2,FALSE))</f>
        <v>1440</v>
      </c>
      <c r="F481" s="31" t="str">
        <f>IF(D481="","",VLOOKUP(D481,TemplateCode!$A$2:$C$999,3,FALSE))</f>
        <v>Ngày thường</v>
      </c>
      <c r="G481" s="30" t="s">
        <v>31</v>
      </c>
      <c r="H481" s="31" t="str">
        <f>IF(G481="","",VLOOKUP(G481,TemplateCode!$E$2:$G$700,2,FALSE))</f>
        <v>14015595</v>
      </c>
      <c r="I481" s="31" t="str">
        <f>IF(G481="","",VLOOKUP(G481,TemplateCode!$E$2:$G$700,3,FALSE))</f>
        <v>Ca đêm</v>
      </c>
    </row>
    <row r="482" spans="1:9" ht="15.75">
      <c r="A482" s="34">
        <v>43190018</v>
      </c>
      <c r="B482" s="34" t="s">
        <v>104</v>
      </c>
      <c r="C482" s="29" t="s">
        <v>117</v>
      </c>
      <c r="D482" s="30" t="s">
        <v>17</v>
      </c>
      <c r="E482" s="31" t="str">
        <f>IF(D482="","",VLOOKUP(D482,TemplateCode!$A$2:$C$999,2,FALSE))</f>
        <v>1440</v>
      </c>
      <c r="F482" s="31" t="str">
        <f>IF(D482="","",VLOOKUP(D482,TemplateCode!$A$2:$C$999,3,FALSE))</f>
        <v>Ngày thường</v>
      </c>
      <c r="G482" s="30" t="s">
        <v>31</v>
      </c>
      <c r="H482" s="31" t="str">
        <f>IF(G482="","",VLOOKUP(G482,TemplateCode!$E$2:$G$700,2,FALSE))</f>
        <v>14015595</v>
      </c>
      <c r="I482" s="31" t="str">
        <f>IF(G482="","",VLOOKUP(G482,TemplateCode!$E$2:$G$700,3,FALSE))</f>
        <v>Ca đêm</v>
      </c>
    </row>
    <row r="483" spans="1:9" ht="15.75">
      <c r="A483" s="36">
        <v>43190460</v>
      </c>
      <c r="B483" s="33" t="s">
        <v>105</v>
      </c>
      <c r="C483" s="29" t="s">
        <v>117</v>
      </c>
      <c r="D483" s="30" t="s">
        <v>17</v>
      </c>
      <c r="E483" s="31" t="str">
        <f>IF(D483="","",VLOOKUP(D483,TemplateCode!$A$2:$C$999,2,FALSE))</f>
        <v>1440</v>
      </c>
      <c r="F483" s="31" t="str">
        <f>IF(D483="","",VLOOKUP(D483,TemplateCode!$A$2:$C$999,3,FALSE))</f>
        <v>Ngày thường</v>
      </c>
      <c r="G483" s="30" t="s">
        <v>31</v>
      </c>
      <c r="H483" s="31" t="str">
        <f>IF(G483="","",VLOOKUP(G483,TemplateCode!$E$2:$G$700,2,FALSE))</f>
        <v>14015595</v>
      </c>
      <c r="I483" s="31" t="str">
        <f>IF(G483="","",VLOOKUP(G483,TemplateCode!$E$2:$G$700,3,FALSE))</f>
        <v>Ca đêm</v>
      </c>
    </row>
    <row r="484" spans="1:9" ht="15.75">
      <c r="A484" s="27">
        <v>43181073</v>
      </c>
      <c r="B484" s="34" t="s">
        <v>106</v>
      </c>
      <c r="C484" s="29" t="s">
        <v>117</v>
      </c>
      <c r="D484" s="30" t="s">
        <v>17</v>
      </c>
      <c r="E484" s="31" t="str">
        <f>IF(D484="","",VLOOKUP(D484,TemplateCode!$A$2:$C$999,2,FALSE))</f>
        <v>1440</v>
      </c>
      <c r="F484" s="31" t="str">
        <f>IF(D484="","",VLOOKUP(D484,TemplateCode!$A$2:$C$999,3,FALSE))</f>
        <v>Ngày thường</v>
      </c>
      <c r="G484" s="30" t="s">
        <v>31</v>
      </c>
      <c r="H484" s="31" t="str">
        <f>IF(G484="","",VLOOKUP(G484,TemplateCode!$E$2:$G$700,2,FALSE))</f>
        <v>14015595</v>
      </c>
      <c r="I484" s="31" t="str">
        <f>IF(G484="","",VLOOKUP(G484,TemplateCode!$E$2:$G$700,3,FALSE))</f>
        <v>Ca đêm</v>
      </c>
    </row>
    <row r="485" spans="1:9" ht="15.75">
      <c r="A485" s="34">
        <v>43190445</v>
      </c>
      <c r="B485" s="34" t="s">
        <v>107</v>
      </c>
      <c r="C485" s="29" t="s">
        <v>117</v>
      </c>
      <c r="D485" s="30" t="s">
        <v>17</v>
      </c>
      <c r="E485" s="31" t="str">
        <f>IF(D485="","",VLOOKUP(D485,TemplateCode!$A$2:$C$999,2,FALSE))</f>
        <v>1440</v>
      </c>
      <c r="F485" s="31" t="str">
        <f>IF(D485="","",VLOOKUP(D485,TemplateCode!$A$2:$C$999,3,FALSE))</f>
        <v>Ngày thường</v>
      </c>
      <c r="G485" s="30" t="s">
        <v>31</v>
      </c>
      <c r="H485" s="31" t="str">
        <f>IF(G485="","",VLOOKUP(G485,TemplateCode!$E$2:$G$700,2,FALSE))</f>
        <v>14015595</v>
      </c>
      <c r="I485" s="31" t="str">
        <f>IF(G485="","",VLOOKUP(G485,TemplateCode!$E$2:$G$700,3,FALSE))</f>
        <v>Ca đêm</v>
      </c>
    </row>
    <row r="486" spans="1:9" ht="15.75">
      <c r="A486" s="34">
        <v>43190243</v>
      </c>
      <c r="B486" s="34" t="s">
        <v>108</v>
      </c>
      <c r="C486" s="29" t="s">
        <v>117</v>
      </c>
      <c r="D486" s="30" t="s">
        <v>17</v>
      </c>
      <c r="E486" s="31" t="str">
        <f>IF(D486="","",VLOOKUP(D486,TemplateCode!$A$2:$C$999,2,FALSE))</f>
        <v>1440</v>
      </c>
      <c r="F486" s="31" t="str">
        <f>IF(D486="","",VLOOKUP(D486,TemplateCode!$A$2:$C$999,3,FALSE))</f>
        <v>Ngày thường</v>
      </c>
      <c r="G486" s="30" t="s">
        <v>31</v>
      </c>
      <c r="H486" s="31" t="str">
        <f>IF(G486="","",VLOOKUP(G486,TemplateCode!$E$2:$G$700,2,FALSE))</f>
        <v>14015595</v>
      </c>
      <c r="I486" s="31" t="str">
        <f>IF(G486="","",VLOOKUP(G486,TemplateCode!$E$2:$G$700,3,FALSE))</f>
        <v>Ca đêm</v>
      </c>
    </row>
    <row r="487" spans="1:9" ht="15.75">
      <c r="A487" s="37">
        <v>43190805</v>
      </c>
      <c r="B487" s="37" t="s">
        <v>109</v>
      </c>
      <c r="C487" s="29" t="s">
        <v>117</v>
      </c>
      <c r="D487" s="30" t="s">
        <v>17</v>
      </c>
      <c r="E487" s="31" t="str">
        <f>IF(D487="","",VLOOKUP(D487,TemplateCode!$A$2:$C$999,2,FALSE))</f>
        <v>1440</v>
      </c>
      <c r="F487" s="31" t="str">
        <f>IF(D487="","",VLOOKUP(D487,TemplateCode!$A$2:$C$999,3,FALSE))</f>
        <v>Ngày thường</v>
      </c>
      <c r="G487" s="30" t="s">
        <v>31</v>
      </c>
      <c r="H487" s="31" t="str">
        <f>IF(G487="","",VLOOKUP(G487,TemplateCode!$E$2:$G$700,2,FALSE))</f>
        <v>14015595</v>
      </c>
      <c r="I487" s="31" t="str">
        <f>IF(G487="","",VLOOKUP(G487,TemplateCode!$E$2:$G$700,3,FALSE))</f>
        <v>Ca đêm</v>
      </c>
    </row>
    <row r="488" spans="1:9" ht="15.75">
      <c r="A488" s="14">
        <v>43181429</v>
      </c>
      <c r="B488" s="14" t="s">
        <v>55</v>
      </c>
      <c r="C488" s="12" t="s">
        <v>118</v>
      </c>
      <c r="D488" s="11" t="s">
        <v>17</v>
      </c>
      <c r="E488" s="10" t="str">
        <f>IF(D488="","",VLOOKUP(D488,TemplateCode!$A$2:$C$999,2,FALSE))</f>
        <v>1440</v>
      </c>
      <c r="F488" s="10" t="str">
        <f>IF(D488="","",VLOOKUP(D488,TemplateCode!$A$2:$C$999,3,FALSE))</f>
        <v>Ngày thường</v>
      </c>
      <c r="G488" s="11" t="s">
        <v>52</v>
      </c>
      <c r="H488" s="10" t="str">
        <f>IF(G488="","",VLOOKUP(G488,TemplateCode!$E$2:$G$700,2,FALSE))</f>
        <v>90000456</v>
      </c>
      <c r="I488" s="10" t="str">
        <f>IF(G488="","",VLOOKUP(G488,TemplateCode!$E$2:$G$700,3,FALSE))</f>
        <v>Ca ngày</v>
      </c>
    </row>
    <row r="489" spans="1:9" ht="15.75">
      <c r="A489" s="15">
        <v>43181308</v>
      </c>
      <c r="B489" s="15" t="s">
        <v>56</v>
      </c>
      <c r="C489" s="12" t="s">
        <v>118</v>
      </c>
      <c r="D489" s="11" t="s">
        <v>17</v>
      </c>
      <c r="E489" s="10" t="str">
        <f>IF(D489="","",VLOOKUP(D489,TemplateCode!$A$2:$C$999,2,FALSE))</f>
        <v>1440</v>
      </c>
      <c r="F489" s="10" t="str">
        <f>IF(D489="","",VLOOKUP(D489,TemplateCode!$A$2:$C$999,3,FALSE))</f>
        <v>Ngày thường</v>
      </c>
      <c r="G489" s="11" t="s">
        <v>52</v>
      </c>
      <c r="H489" s="10" t="str">
        <f>IF(G489="","",VLOOKUP(G489,TemplateCode!$E$2:$G$700,2,FALSE))</f>
        <v>90000456</v>
      </c>
      <c r="I489" s="10" t="str">
        <f>IF(G489="","",VLOOKUP(G489,TemplateCode!$E$2:$G$700,3,FALSE))</f>
        <v>Ca ngày</v>
      </c>
    </row>
    <row r="490" spans="1:9" ht="15.75">
      <c r="A490" s="16">
        <v>43181355</v>
      </c>
      <c r="B490" s="17" t="s">
        <v>57</v>
      </c>
      <c r="C490" s="12" t="s">
        <v>118</v>
      </c>
      <c r="D490" s="11" t="s">
        <v>17</v>
      </c>
      <c r="E490" s="10" t="str">
        <f>IF(D490="","",VLOOKUP(D490,TemplateCode!$A$2:$C$999,2,FALSE))</f>
        <v>1440</v>
      </c>
      <c r="F490" s="10" t="str">
        <f>IF(D490="","",VLOOKUP(D490,TemplateCode!$A$2:$C$999,3,FALSE))</f>
        <v>Ngày thường</v>
      </c>
      <c r="G490" s="11" t="s">
        <v>52</v>
      </c>
      <c r="H490" s="10" t="str">
        <f>IF(G490="","",VLOOKUP(G490,TemplateCode!$E$2:$G$700,2,FALSE))</f>
        <v>90000456</v>
      </c>
      <c r="I490" s="10" t="str">
        <f>IF(G490="","",VLOOKUP(G490,TemplateCode!$E$2:$G$700,3,FALSE))</f>
        <v>Ca ngày</v>
      </c>
    </row>
    <row r="491" spans="1:9" ht="15.75">
      <c r="A491" s="15">
        <v>43181462</v>
      </c>
      <c r="B491" s="17" t="s">
        <v>58</v>
      </c>
      <c r="C491" s="12" t="s">
        <v>118</v>
      </c>
      <c r="D491" s="11" t="s">
        <v>17</v>
      </c>
      <c r="E491" s="10" t="str">
        <f>IF(D491="","",VLOOKUP(D491,TemplateCode!$A$2:$C$999,2,FALSE))</f>
        <v>1440</v>
      </c>
      <c r="F491" s="10" t="str">
        <f>IF(D491="","",VLOOKUP(D491,TemplateCode!$A$2:$C$999,3,FALSE))</f>
        <v>Ngày thường</v>
      </c>
      <c r="G491" s="11" t="s">
        <v>52</v>
      </c>
      <c r="H491" s="10" t="str">
        <f>IF(G491="","",VLOOKUP(G491,TemplateCode!$E$2:$G$700,2,FALSE))</f>
        <v>90000456</v>
      </c>
      <c r="I491" s="10" t="str">
        <f>IF(G491="","",VLOOKUP(G491,TemplateCode!$E$2:$G$700,3,FALSE))</f>
        <v>Ca ngày</v>
      </c>
    </row>
    <row r="492" spans="1:9" ht="15.75">
      <c r="A492" s="18">
        <v>43181463</v>
      </c>
      <c r="B492" s="17" t="s">
        <v>59</v>
      </c>
      <c r="C492" s="12" t="s">
        <v>118</v>
      </c>
      <c r="D492" s="11" t="s">
        <v>17</v>
      </c>
      <c r="E492" s="10" t="str">
        <f>IF(D492="","",VLOOKUP(D492,TemplateCode!$A$2:$C$999,2,FALSE))</f>
        <v>1440</v>
      </c>
      <c r="F492" s="10" t="str">
        <f>IF(D492="","",VLOOKUP(D492,TemplateCode!$A$2:$C$999,3,FALSE))</f>
        <v>Ngày thường</v>
      </c>
      <c r="G492" s="11" t="s">
        <v>52</v>
      </c>
      <c r="H492" s="10" t="str">
        <f>IF(G492="","",VLOOKUP(G492,TemplateCode!$E$2:$G$700,2,FALSE))</f>
        <v>90000456</v>
      </c>
      <c r="I492" s="10" t="str">
        <f>IF(G492="","",VLOOKUP(G492,TemplateCode!$E$2:$G$700,3,FALSE))</f>
        <v>Ca ngày</v>
      </c>
    </row>
    <row r="493" spans="1:9" ht="15.75">
      <c r="A493" s="15">
        <v>43181487</v>
      </c>
      <c r="B493" s="15" t="s">
        <v>60</v>
      </c>
      <c r="C493" s="12" t="s">
        <v>118</v>
      </c>
      <c r="D493" s="11" t="s">
        <v>17</v>
      </c>
      <c r="E493" s="10" t="str">
        <f>IF(D493="","",VLOOKUP(D493,TemplateCode!$A$2:$C$999,2,FALSE))</f>
        <v>1440</v>
      </c>
      <c r="F493" s="10" t="str">
        <f>IF(D493="","",VLOOKUP(D493,TemplateCode!$A$2:$C$999,3,FALSE))</f>
        <v>Ngày thường</v>
      </c>
      <c r="G493" s="11" t="s">
        <v>52</v>
      </c>
      <c r="H493" s="10" t="str">
        <f>IF(G493="","",VLOOKUP(G493,TemplateCode!$E$2:$G$700,2,FALSE))</f>
        <v>90000456</v>
      </c>
      <c r="I493" s="10" t="str">
        <f>IF(G493="","",VLOOKUP(G493,TemplateCode!$E$2:$G$700,3,FALSE))</f>
        <v>Ca ngày</v>
      </c>
    </row>
    <row r="494" spans="1:9" ht="15.75">
      <c r="A494" s="15">
        <v>43181490</v>
      </c>
      <c r="B494" s="15" t="s">
        <v>61</v>
      </c>
      <c r="C494" s="12" t="s">
        <v>118</v>
      </c>
      <c r="D494" s="11" t="s">
        <v>17</v>
      </c>
      <c r="E494" s="10" t="str">
        <f>IF(D494="","",VLOOKUP(D494,TemplateCode!$A$2:$C$999,2,FALSE))</f>
        <v>1440</v>
      </c>
      <c r="F494" s="10" t="str">
        <f>IF(D494="","",VLOOKUP(D494,TemplateCode!$A$2:$C$999,3,FALSE))</f>
        <v>Ngày thường</v>
      </c>
      <c r="G494" s="11" t="s">
        <v>52</v>
      </c>
      <c r="H494" s="10" t="str">
        <f>IF(G494="","",VLOOKUP(G494,TemplateCode!$E$2:$G$700,2,FALSE))</f>
        <v>90000456</v>
      </c>
      <c r="I494" s="10" t="str">
        <f>IF(G494="","",VLOOKUP(G494,TemplateCode!$E$2:$G$700,3,FALSE))</f>
        <v>Ca ngày</v>
      </c>
    </row>
    <row r="495" spans="1:9" ht="15.75">
      <c r="A495" s="15">
        <v>43190015</v>
      </c>
      <c r="B495" s="15" t="s">
        <v>62</v>
      </c>
      <c r="C495" s="12" t="s">
        <v>118</v>
      </c>
      <c r="D495" s="11" t="s">
        <v>17</v>
      </c>
      <c r="E495" s="10" t="str">
        <f>IF(D495="","",VLOOKUP(D495,TemplateCode!$A$2:$C$999,2,FALSE))</f>
        <v>1440</v>
      </c>
      <c r="F495" s="10" t="str">
        <f>IF(D495="","",VLOOKUP(D495,TemplateCode!$A$2:$C$999,3,FALSE))</f>
        <v>Ngày thường</v>
      </c>
      <c r="G495" s="11" t="s">
        <v>52</v>
      </c>
      <c r="H495" s="10" t="str">
        <f>IF(G495="","",VLOOKUP(G495,TemplateCode!$E$2:$G$700,2,FALSE))</f>
        <v>90000456</v>
      </c>
      <c r="I495" s="10" t="str">
        <f>IF(G495="","",VLOOKUP(G495,TemplateCode!$E$2:$G$700,3,FALSE))</f>
        <v>Ca ngày</v>
      </c>
    </row>
    <row r="496" spans="1:9" ht="15.75">
      <c r="A496" s="15">
        <v>43190023</v>
      </c>
      <c r="B496" s="15" t="s">
        <v>63</v>
      </c>
      <c r="C496" s="12" t="s">
        <v>118</v>
      </c>
      <c r="D496" s="11" t="s">
        <v>17</v>
      </c>
      <c r="E496" s="10" t="str">
        <f>IF(D496="","",VLOOKUP(D496,TemplateCode!$A$2:$C$999,2,FALSE))</f>
        <v>1440</v>
      </c>
      <c r="F496" s="10" t="str">
        <f>IF(D496="","",VLOOKUP(D496,TemplateCode!$A$2:$C$999,3,FALSE))</f>
        <v>Ngày thường</v>
      </c>
      <c r="G496" s="11" t="s">
        <v>52</v>
      </c>
      <c r="H496" s="10" t="str">
        <f>IF(G496="","",VLOOKUP(G496,TemplateCode!$E$2:$G$700,2,FALSE))</f>
        <v>90000456</v>
      </c>
      <c r="I496" s="10" t="str">
        <f>IF(G496="","",VLOOKUP(G496,TemplateCode!$E$2:$G$700,3,FALSE))</f>
        <v>Ca ngày</v>
      </c>
    </row>
    <row r="497" spans="1:9" ht="15.75">
      <c r="A497" s="15">
        <v>43190030</v>
      </c>
      <c r="B497" s="15" t="s">
        <v>64</v>
      </c>
      <c r="C497" s="12" t="s">
        <v>118</v>
      </c>
      <c r="D497" s="11" t="s">
        <v>17</v>
      </c>
      <c r="E497" s="10" t="str">
        <f>IF(D497="","",VLOOKUP(D497,TemplateCode!$A$2:$C$999,2,FALSE))</f>
        <v>1440</v>
      </c>
      <c r="F497" s="10" t="str">
        <f>IF(D497="","",VLOOKUP(D497,TemplateCode!$A$2:$C$999,3,FALSE))</f>
        <v>Ngày thường</v>
      </c>
      <c r="G497" s="11" t="s">
        <v>52</v>
      </c>
      <c r="H497" s="10" t="str">
        <f>IF(G497="","",VLOOKUP(G497,TemplateCode!$E$2:$G$700,2,FALSE))</f>
        <v>90000456</v>
      </c>
      <c r="I497" s="10" t="str">
        <f>IF(G497="","",VLOOKUP(G497,TemplateCode!$E$2:$G$700,3,FALSE))</f>
        <v>Ca ngày</v>
      </c>
    </row>
    <row r="498" spans="1:9" ht="15.75">
      <c r="A498" s="15">
        <v>43190041</v>
      </c>
      <c r="B498" s="15" t="s">
        <v>65</v>
      </c>
      <c r="C498" s="12" t="s">
        <v>118</v>
      </c>
      <c r="D498" s="11" t="s">
        <v>17</v>
      </c>
      <c r="E498" s="10" t="str">
        <f>IF(D498="","",VLOOKUP(D498,TemplateCode!$A$2:$C$999,2,FALSE))</f>
        <v>1440</v>
      </c>
      <c r="F498" s="10" t="str">
        <f>IF(D498="","",VLOOKUP(D498,TemplateCode!$A$2:$C$999,3,FALSE))</f>
        <v>Ngày thường</v>
      </c>
      <c r="G498" s="11" t="s">
        <v>52</v>
      </c>
      <c r="H498" s="10" t="str">
        <f>IF(G498="","",VLOOKUP(G498,TemplateCode!$E$2:$G$700,2,FALSE))</f>
        <v>90000456</v>
      </c>
      <c r="I498" s="10" t="str">
        <f>IF(G498="","",VLOOKUP(G498,TemplateCode!$E$2:$G$700,3,FALSE))</f>
        <v>Ca ngày</v>
      </c>
    </row>
    <row r="499" spans="1:9" ht="15.75">
      <c r="A499" s="16">
        <v>43190065</v>
      </c>
      <c r="B499" s="15" t="s">
        <v>66</v>
      </c>
      <c r="C499" s="12" t="s">
        <v>118</v>
      </c>
      <c r="D499" s="11" t="s">
        <v>17</v>
      </c>
      <c r="E499" s="10" t="str">
        <f>IF(D499="","",VLOOKUP(D499,TemplateCode!$A$2:$C$999,2,FALSE))</f>
        <v>1440</v>
      </c>
      <c r="F499" s="10" t="str">
        <f>IF(D499="","",VLOOKUP(D499,TemplateCode!$A$2:$C$999,3,FALSE))</f>
        <v>Ngày thường</v>
      </c>
      <c r="G499" s="11" t="s">
        <v>52</v>
      </c>
      <c r="H499" s="10" t="str">
        <f>IF(G499="","",VLOOKUP(G499,TemplateCode!$E$2:$G$700,2,FALSE))</f>
        <v>90000456</v>
      </c>
      <c r="I499" s="10" t="str">
        <f>IF(G499="","",VLOOKUP(G499,TemplateCode!$E$2:$G$700,3,FALSE))</f>
        <v>Ca ngày</v>
      </c>
    </row>
    <row r="500" spans="1:9" ht="15.75">
      <c r="A500" s="16">
        <v>43190105</v>
      </c>
      <c r="B500" s="15" t="s">
        <v>67</v>
      </c>
      <c r="C500" s="12" t="s">
        <v>118</v>
      </c>
      <c r="D500" s="11" t="s">
        <v>17</v>
      </c>
      <c r="E500" s="10" t="str">
        <f>IF(D500="","",VLOOKUP(D500,TemplateCode!$A$2:$C$999,2,FALSE))</f>
        <v>1440</v>
      </c>
      <c r="F500" s="10" t="str">
        <f>IF(D500="","",VLOOKUP(D500,TemplateCode!$A$2:$C$999,3,FALSE))</f>
        <v>Ngày thường</v>
      </c>
      <c r="G500" s="11" t="s">
        <v>52</v>
      </c>
      <c r="H500" s="10" t="str">
        <f>IF(G500="","",VLOOKUP(G500,TemplateCode!$E$2:$G$700,2,FALSE))</f>
        <v>90000456</v>
      </c>
      <c r="I500" s="10" t="str">
        <f>IF(G500="","",VLOOKUP(G500,TemplateCode!$E$2:$G$700,3,FALSE))</f>
        <v>Ca ngày</v>
      </c>
    </row>
    <row r="501" spans="1:9" ht="15.75">
      <c r="A501" s="16">
        <v>43190109</v>
      </c>
      <c r="B501" s="17" t="s">
        <v>68</v>
      </c>
      <c r="C501" s="12" t="s">
        <v>118</v>
      </c>
      <c r="D501" s="11" t="s">
        <v>17</v>
      </c>
      <c r="E501" s="10" t="str">
        <f>IF(D501="","",VLOOKUP(D501,TemplateCode!$A$2:$C$999,2,FALSE))</f>
        <v>1440</v>
      </c>
      <c r="F501" s="10" t="str">
        <f>IF(D501="","",VLOOKUP(D501,TemplateCode!$A$2:$C$999,3,FALSE))</f>
        <v>Ngày thường</v>
      </c>
      <c r="G501" s="11" t="s">
        <v>52</v>
      </c>
      <c r="H501" s="10" t="str">
        <f>IF(G501="","",VLOOKUP(G501,TemplateCode!$E$2:$G$700,2,FALSE))</f>
        <v>90000456</v>
      </c>
      <c r="I501" s="10" t="str">
        <f>IF(G501="","",VLOOKUP(G501,TemplateCode!$E$2:$G$700,3,FALSE))</f>
        <v>Ca ngày</v>
      </c>
    </row>
    <row r="502" spans="1:9" ht="15.75">
      <c r="A502" s="18">
        <v>43190124</v>
      </c>
      <c r="B502" s="17" t="s">
        <v>69</v>
      </c>
      <c r="C502" s="12" t="s">
        <v>118</v>
      </c>
      <c r="D502" s="11" t="s">
        <v>17</v>
      </c>
      <c r="E502" s="10" t="str">
        <f>IF(D502="","",VLOOKUP(D502,TemplateCode!$A$2:$C$999,2,FALSE))</f>
        <v>1440</v>
      </c>
      <c r="F502" s="10" t="str">
        <f>IF(D502="","",VLOOKUP(D502,TemplateCode!$A$2:$C$999,3,FALSE))</f>
        <v>Ngày thường</v>
      </c>
      <c r="G502" s="11" t="s">
        <v>52</v>
      </c>
      <c r="H502" s="10" t="str">
        <f>IF(G502="","",VLOOKUP(G502,TemplateCode!$E$2:$G$700,2,FALSE))</f>
        <v>90000456</v>
      </c>
      <c r="I502" s="10" t="str">
        <f>IF(G502="","",VLOOKUP(G502,TemplateCode!$E$2:$G$700,3,FALSE))</f>
        <v>Ca ngày</v>
      </c>
    </row>
    <row r="503" spans="1:9" ht="15.75">
      <c r="A503" s="15">
        <v>43190125</v>
      </c>
      <c r="B503" s="15" t="s">
        <v>70</v>
      </c>
      <c r="C503" s="12" t="s">
        <v>118</v>
      </c>
      <c r="D503" s="11" t="s">
        <v>17</v>
      </c>
      <c r="E503" s="10" t="str">
        <f>IF(D503="","",VLOOKUP(D503,TemplateCode!$A$2:$C$999,2,FALSE))</f>
        <v>1440</v>
      </c>
      <c r="F503" s="10" t="str">
        <f>IF(D503="","",VLOOKUP(D503,TemplateCode!$A$2:$C$999,3,FALSE))</f>
        <v>Ngày thường</v>
      </c>
      <c r="G503" s="11" t="s">
        <v>52</v>
      </c>
      <c r="H503" s="10" t="str">
        <f>IF(G503="","",VLOOKUP(G503,TemplateCode!$E$2:$G$700,2,FALSE))</f>
        <v>90000456</v>
      </c>
      <c r="I503" s="10" t="str">
        <f>IF(G503="","",VLOOKUP(G503,TemplateCode!$E$2:$G$700,3,FALSE))</f>
        <v>Ca ngày</v>
      </c>
    </row>
    <row r="504" spans="1:9" ht="15.75">
      <c r="A504" s="15">
        <v>43190126</v>
      </c>
      <c r="B504" s="15" t="s">
        <v>71</v>
      </c>
      <c r="C504" s="12" t="s">
        <v>118</v>
      </c>
      <c r="D504" s="11" t="s">
        <v>17</v>
      </c>
      <c r="E504" s="10" t="str">
        <f>IF(D504="","",VLOOKUP(D504,TemplateCode!$A$2:$C$999,2,FALSE))</f>
        <v>1440</v>
      </c>
      <c r="F504" s="10" t="str">
        <f>IF(D504="","",VLOOKUP(D504,TemplateCode!$A$2:$C$999,3,FALSE))</f>
        <v>Ngày thường</v>
      </c>
      <c r="G504" s="11" t="s">
        <v>52</v>
      </c>
      <c r="H504" s="10" t="str">
        <f>IF(G504="","",VLOOKUP(G504,TemplateCode!$E$2:$G$700,2,FALSE))</f>
        <v>90000456</v>
      </c>
      <c r="I504" s="10" t="str">
        <f>IF(G504="","",VLOOKUP(G504,TemplateCode!$E$2:$G$700,3,FALSE))</f>
        <v>Ca ngày</v>
      </c>
    </row>
    <row r="505" spans="1:9" ht="15.75">
      <c r="A505" s="15">
        <v>43190169</v>
      </c>
      <c r="B505" s="15" t="s">
        <v>72</v>
      </c>
      <c r="C505" s="12" t="s">
        <v>118</v>
      </c>
      <c r="D505" s="11" t="s">
        <v>17</v>
      </c>
      <c r="E505" s="10" t="str">
        <f>IF(D505="","",VLOOKUP(D505,TemplateCode!$A$2:$C$999,2,FALSE))</f>
        <v>1440</v>
      </c>
      <c r="F505" s="10" t="str">
        <f>IF(D505="","",VLOOKUP(D505,TemplateCode!$A$2:$C$999,3,FALSE))</f>
        <v>Ngày thường</v>
      </c>
      <c r="G505" s="11" t="s">
        <v>52</v>
      </c>
      <c r="H505" s="10" t="str">
        <f>IF(G505="","",VLOOKUP(G505,TemplateCode!$E$2:$G$700,2,FALSE))</f>
        <v>90000456</v>
      </c>
      <c r="I505" s="10" t="str">
        <f>IF(G505="","",VLOOKUP(G505,TemplateCode!$E$2:$G$700,3,FALSE))</f>
        <v>Ca ngày</v>
      </c>
    </row>
    <row r="506" spans="1:9" ht="15.75">
      <c r="A506" s="16">
        <v>43190163</v>
      </c>
      <c r="B506" s="17" t="s">
        <v>73</v>
      </c>
      <c r="C506" s="12" t="s">
        <v>118</v>
      </c>
      <c r="D506" s="11" t="s">
        <v>17</v>
      </c>
      <c r="E506" s="10" t="str">
        <f>IF(D506="","",VLOOKUP(D506,TemplateCode!$A$2:$C$999,2,FALSE))</f>
        <v>1440</v>
      </c>
      <c r="F506" s="10" t="str">
        <f>IF(D506="","",VLOOKUP(D506,TemplateCode!$A$2:$C$999,3,FALSE))</f>
        <v>Ngày thường</v>
      </c>
      <c r="G506" s="11" t="s">
        <v>52</v>
      </c>
      <c r="H506" s="10" t="str">
        <f>IF(G506="","",VLOOKUP(G506,TemplateCode!$E$2:$G$700,2,FALSE))</f>
        <v>90000456</v>
      </c>
      <c r="I506" s="10" t="str">
        <f>IF(G506="","",VLOOKUP(G506,TemplateCode!$E$2:$G$700,3,FALSE))</f>
        <v>Ca ngày</v>
      </c>
    </row>
    <row r="507" spans="1:9" ht="15.75">
      <c r="A507" s="19">
        <v>43190435</v>
      </c>
      <c r="B507" s="20" t="s">
        <v>74</v>
      </c>
      <c r="C507" s="12" t="s">
        <v>118</v>
      </c>
      <c r="D507" s="11" t="s">
        <v>17</v>
      </c>
      <c r="E507" s="10" t="str">
        <f>IF(D507="","",VLOOKUP(D507,TemplateCode!$A$2:$C$999,2,FALSE))</f>
        <v>1440</v>
      </c>
      <c r="F507" s="10" t="str">
        <f>IF(D507="","",VLOOKUP(D507,TemplateCode!$A$2:$C$999,3,FALSE))</f>
        <v>Ngày thường</v>
      </c>
      <c r="G507" s="11" t="s">
        <v>52</v>
      </c>
      <c r="H507" s="10" t="str">
        <f>IF(G507="","",VLOOKUP(G507,TemplateCode!$E$2:$G$700,2,FALSE))</f>
        <v>90000456</v>
      </c>
      <c r="I507" s="10" t="str">
        <f>IF(G507="","",VLOOKUP(G507,TemplateCode!$E$2:$G$700,3,FALSE))</f>
        <v>Ca ngày</v>
      </c>
    </row>
    <row r="508" spans="1:9" ht="15.75">
      <c r="A508" s="21">
        <v>43190459</v>
      </c>
      <c r="B508" s="20" t="s">
        <v>75</v>
      </c>
      <c r="C508" s="12" t="s">
        <v>118</v>
      </c>
      <c r="D508" s="11" t="s">
        <v>17</v>
      </c>
      <c r="E508" s="10" t="str">
        <f>IF(D508="","",VLOOKUP(D508,TemplateCode!$A$2:$C$999,2,FALSE))</f>
        <v>1440</v>
      </c>
      <c r="F508" s="10" t="str">
        <f>IF(D508="","",VLOOKUP(D508,TemplateCode!$A$2:$C$999,3,FALSE))</f>
        <v>Ngày thường</v>
      </c>
      <c r="G508" s="11" t="s">
        <v>52</v>
      </c>
      <c r="H508" s="10" t="str">
        <f>IF(G508="","",VLOOKUP(G508,TemplateCode!$E$2:$G$700,2,FALSE))</f>
        <v>90000456</v>
      </c>
      <c r="I508" s="10" t="str">
        <f>IF(G508="","",VLOOKUP(G508,TemplateCode!$E$2:$G$700,3,FALSE))</f>
        <v>Ca ngày</v>
      </c>
    </row>
    <row r="509" spans="1:9" ht="15.75">
      <c r="A509" s="19">
        <v>43190506</v>
      </c>
      <c r="B509" s="20" t="s">
        <v>76</v>
      </c>
      <c r="C509" s="12" t="s">
        <v>118</v>
      </c>
      <c r="D509" s="11" t="s">
        <v>17</v>
      </c>
      <c r="E509" s="10" t="str">
        <f>IF(D509="","",VLOOKUP(D509,TemplateCode!$A$2:$C$999,2,FALSE))</f>
        <v>1440</v>
      </c>
      <c r="F509" s="10" t="str">
        <f>IF(D509="","",VLOOKUP(D509,TemplateCode!$A$2:$C$999,3,FALSE))</f>
        <v>Ngày thường</v>
      </c>
      <c r="G509" s="11" t="s">
        <v>52</v>
      </c>
      <c r="H509" s="10" t="str">
        <f>IF(G509="","",VLOOKUP(G509,TemplateCode!$E$2:$G$700,2,FALSE))</f>
        <v>90000456</v>
      </c>
      <c r="I509" s="10" t="str">
        <f>IF(G509="","",VLOOKUP(G509,TemplateCode!$E$2:$G$700,3,FALSE))</f>
        <v>Ca ngày</v>
      </c>
    </row>
    <row r="510" spans="1:9" ht="15.75">
      <c r="A510" s="22">
        <v>43190785</v>
      </c>
      <c r="B510" s="22" t="s">
        <v>77</v>
      </c>
      <c r="C510" s="12" t="s">
        <v>118</v>
      </c>
      <c r="D510" s="11" t="s">
        <v>17</v>
      </c>
      <c r="E510" s="10" t="str">
        <f>IF(D510="","",VLOOKUP(D510,TemplateCode!$A$2:$C$999,2,FALSE))</f>
        <v>1440</v>
      </c>
      <c r="F510" s="10" t="str">
        <f>IF(D510="","",VLOOKUP(D510,TemplateCode!$A$2:$C$999,3,FALSE))</f>
        <v>Ngày thường</v>
      </c>
      <c r="G510" s="11" t="s">
        <v>52</v>
      </c>
      <c r="H510" s="10" t="str">
        <f>IF(G510="","",VLOOKUP(G510,TemplateCode!$E$2:$G$700,2,FALSE))</f>
        <v>90000456</v>
      </c>
      <c r="I510" s="10" t="str">
        <f>IF(G510="","",VLOOKUP(G510,TemplateCode!$E$2:$G$700,3,FALSE))</f>
        <v>Ca ngày</v>
      </c>
    </row>
    <row r="511" spans="1:9" ht="18.75">
      <c r="A511" s="13">
        <v>43190799</v>
      </c>
      <c r="B511" s="23" t="s">
        <v>78</v>
      </c>
      <c r="C511" s="12" t="s">
        <v>118</v>
      </c>
      <c r="D511" s="11" t="s">
        <v>17</v>
      </c>
      <c r="E511" s="10" t="str">
        <f>IF(D511="","",VLOOKUP(D511,TemplateCode!$A$2:$C$999,2,FALSE))</f>
        <v>1440</v>
      </c>
      <c r="F511" s="10" t="str">
        <f>IF(D511="","",VLOOKUP(D511,TemplateCode!$A$2:$C$999,3,FALSE))</f>
        <v>Ngày thường</v>
      </c>
      <c r="G511" s="11" t="s">
        <v>52</v>
      </c>
      <c r="H511" s="10" t="str">
        <f>IF(G511="","",VLOOKUP(G511,TemplateCode!$E$2:$G$700,2,FALSE))</f>
        <v>90000456</v>
      </c>
      <c r="I511" s="10" t="str">
        <f>IF(G511="","",VLOOKUP(G511,TemplateCode!$E$2:$G$700,3,FALSE))</f>
        <v>Ca ngày</v>
      </c>
    </row>
    <row r="512" spans="1:9" ht="18.75">
      <c r="A512" s="13">
        <v>43190800</v>
      </c>
      <c r="B512" s="23" t="s">
        <v>79</v>
      </c>
      <c r="C512" s="12" t="s">
        <v>118</v>
      </c>
      <c r="D512" s="11" t="s">
        <v>17</v>
      </c>
      <c r="E512" s="10" t="str">
        <f>IF(D512="","",VLOOKUP(D512,TemplateCode!$A$2:$C$999,2,FALSE))</f>
        <v>1440</v>
      </c>
      <c r="F512" s="10" t="str">
        <f>IF(D512="","",VLOOKUP(D512,TemplateCode!$A$2:$C$999,3,FALSE))</f>
        <v>Ngày thường</v>
      </c>
      <c r="G512" s="11" t="s">
        <v>52</v>
      </c>
      <c r="H512" s="10" t="str">
        <f>IF(G512="","",VLOOKUP(G512,TemplateCode!$E$2:$G$700,2,FALSE))</f>
        <v>90000456</v>
      </c>
      <c r="I512" s="10" t="str">
        <f>IF(G512="","",VLOOKUP(G512,TemplateCode!$E$2:$G$700,3,FALSE))</f>
        <v>Ca ngày</v>
      </c>
    </row>
    <row r="513" spans="1:9" ht="15.75">
      <c r="A513" s="24">
        <v>43190817</v>
      </c>
      <c r="B513" s="25" t="s">
        <v>80</v>
      </c>
      <c r="C513" s="12" t="s">
        <v>118</v>
      </c>
      <c r="D513" s="11" t="s">
        <v>17</v>
      </c>
      <c r="E513" s="10" t="str">
        <f>IF(D513="","",VLOOKUP(D513,TemplateCode!$A$2:$C$999,2,FALSE))</f>
        <v>1440</v>
      </c>
      <c r="F513" s="10" t="str">
        <f>IF(D513="","",VLOOKUP(D513,TemplateCode!$A$2:$C$999,3,FALSE))</f>
        <v>Ngày thường</v>
      </c>
      <c r="G513" s="11" t="s">
        <v>52</v>
      </c>
      <c r="H513" s="10" t="str">
        <f>IF(G513="","",VLOOKUP(G513,TemplateCode!$E$2:$G$700,2,FALSE))</f>
        <v>90000456</v>
      </c>
      <c r="I513" s="10" t="str">
        <f>IF(G513="","",VLOOKUP(G513,TemplateCode!$E$2:$G$700,3,FALSE))</f>
        <v>Ca ngày</v>
      </c>
    </row>
    <row r="514" spans="1:9" ht="15.75">
      <c r="A514" s="26">
        <v>43190892</v>
      </c>
      <c r="B514" s="22" t="s">
        <v>81</v>
      </c>
      <c r="C514" s="12" t="s">
        <v>118</v>
      </c>
      <c r="D514" s="11" t="s">
        <v>17</v>
      </c>
      <c r="E514" s="10" t="str">
        <f>IF(D514="","",VLOOKUP(D514,TemplateCode!$A$2:$C$999,2,FALSE))</f>
        <v>1440</v>
      </c>
      <c r="F514" s="10" t="str">
        <f>IF(D514="","",VLOOKUP(D514,TemplateCode!$A$2:$C$999,3,FALSE))</f>
        <v>Ngày thường</v>
      </c>
      <c r="G514" s="11" t="s">
        <v>52</v>
      </c>
      <c r="H514" s="10" t="str">
        <f>IF(G514="","",VLOOKUP(G514,TemplateCode!$E$2:$G$700,2,FALSE))</f>
        <v>90000456</v>
      </c>
      <c r="I514" s="10" t="str">
        <f>IF(G514="","",VLOOKUP(G514,TemplateCode!$E$2:$G$700,3,FALSE))</f>
        <v>Ca ngày</v>
      </c>
    </row>
    <row r="515" spans="1:9" ht="15.75">
      <c r="A515" s="26">
        <v>43190893</v>
      </c>
      <c r="B515" s="22" t="s">
        <v>82</v>
      </c>
      <c r="C515" s="12" t="s">
        <v>118</v>
      </c>
      <c r="D515" s="11" t="s">
        <v>17</v>
      </c>
      <c r="E515" s="10" t="str">
        <f>IF(D515="","",VLOOKUP(D515,TemplateCode!$A$2:$C$999,2,FALSE))</f>
        <v>1440</v>
      </c>
      <c r="F515" s="10" t="str">
        <f>IF(D515="","",VLOOKUP(D515,TemplateCode!$A$2:$C$999,3,FALSE))</f>
        <v>Ngày thường</v>
      </c>
      <c r="G515" s="11" t="s">
        <v>52</v>
      </c>
      <c r="H515" s="10" t="str">
        <f>IF(G515="","",VLOOKUP(G515,TemplateCode!$E$2:$G$700,2,FALSE))</f>
        <v>90000456</v>
      </c>
      <c r="I515" s="10" t="str">
        <f>IF(G515="","",VLOOKUP(G515,TemplateCode!$E$2:$G$700,3,FALSE))</f>
        <v>Ca ngày</v>
      </c>
    </row>
    <row r="516" spans="1:9" ht="15.75">
      <c r="A516" s="27">
        <v>43190244</v>
      </c>
      <c r="B516" s="28" t="s">
        <v>84</v>
      </c>
      <c r="C516" s="29" t="s">
        <v>118</v>
      </c>
      <c r="D516" s="30" t="s">
        <v>17</v>
      </c>
      <c r="E516" s="31" t="str">
        <f>IF(D516="","",VLOOKUP(D516,TemplateCode!$A$2:$C$999,2,FALSE))</f>
        <v>1440</v>
      </c>
      <c r="F516" s="31" t="str">
        <f>IF(D516="","",VLOOKUP(D516,TemplateCode!$A$2:$C$999,3,FALSE))</f>
        <v>Ngày thường</v>
      </c>
      <c r="G516" s="30" t="s">
        <v>31</v>
      </c>
      <c r="H516" s="31" t="str">
        <f>IF(G516="","",VLOOKUP(G516,TemplateCode!$E$2:$G$700,2,FALSE))</f>
        <v>14015595</v>
      </c>
      <c r="I516" s="31" t="str">
        <f>IF(G516="","",VLOOKUP(G516,TemplateCode!$E$2:$G$700,3,FALSE))</f>
        <v>Ca đêm</v>
      </c>
    </row>
    <row r="517" spans="1:9" ht="15.75">
      <c r="A517" s="32">
        <v>43190464</v>
      </c>
      <c r="B517" s="33" t="s">
        <v>85</v>
      </c>
      <c r="C517" s="29" t="s">
        <v>118</v>
      </c>
      <c r="D517" s="30" t="s">
        <v>17</v>
      </c>
      <c r="E517" s="31" t="str">
        <f>IF(D517="","",VLOOKUP(D517,TemplateCode!$A$2:$C$999,2,FALSE))</f>
        <v>1440</v>
      </c>
      <c r="F517" s="31" t="str">
        <f>IF(D517="","",VLOOKUP(D517,TemplateCode!$A$2:$C$999,3,FALSE))</f>
        <v>Ngày thường</v>
      </c>
      <c r="G517" s="30" t="s">
        <v>31</v>
      </c>
      <c r="H517" s="31" t="str">
        <f>IF(G517="","",VLOOKUP(G517,TemplateCode!$E$2:$G$700,2,FALSE))</f>
        <v>14015595</v>
      </c>
      <c r="I517" s="31" t="str">
        <f>IF(G517="","",VLOOKUP(G517,TemplateCode!$E$2:$G$700,3,FALSE))</f>
        <v>Ca đêm</v>
      </c>
    </row>
    <row r="518" spans="1:9" ht="15.75">
      <c r="A518" s="34">
        <v>43180875</v>
      </c>
      <c r="B518" s="34" t="s">
        <v>86</v>
      </c>
      <c r="C518" s="29" t="s">
        <v>118</v>
      </c>
      <c r="D518" s="30" t="s">
        <v>17</v>
      </c>
      <c r="E518" s="31" t="str">
        <f>IF(D518="","",VLOOKUP(D518,TemplateCode!$A$2:$C$999,2,FALSE))</f>
        <v>1440</v>
      </c>
      <c r="F518" s="31" t="str">
        <f>IF(D518="","",VLOOKUP(D518,TemplateCode!$A$2:$C$999,3,FALSE))</f>
        <v>Ngày thường</v>
      </c>
      <c r="G518" s="30" t="s">
        <v>31</v>
      </c>
      <c r="H518" s="31" t="str">
        <f>IF(G518="","",VLOOKUP(G518,TemplateCode!$E$2:$G$700,2,FALSE))</f>
        <v>14015595</v>
      </c>
      <c r="I518" s="31" t="str">
        <f>IF(G518="","",VLOOKUP(G518,TemplateCode!$E$2:$G$700,3,FALSE))</f>
        <v>Ca đêm</v>
      </c>
    </row>
    <row r="519" spans="1:9" ht="15.75">
      <c r="A519" s="34">
        <v>43180879</v>
      </c>
      <c r="B519" s="34" t="s">
        <v>87</v>
      </c>
      <c r="C519" s="29" t="s">
        <v>118</v>
      </c>
      <c r="D519" s="30" t="s">
        <v>17</v>
      </c>
      <c r="E519" s="31" t="str">
        <f>IF(D519="","",VLOOKUP(D519,TemplateCode!$A$2:$C$999,2,FALSE))</f>
        <v>1440</v>
      </c>
      <c r="F519" s="31" t="str">
        <f>IF(D519="","",VLOOKUP(D519,TemplateCode!$A$2:$C$999,3,FALSE))</f>
        <v>Ngày thường</v>
      </c>
      <c r="G519" s="30" t="s">
        <v>31</v>
      </c>
      <c r="H519" s="31" t="str">
        <f>IF(G519="","",VLOOKUP(G519,TemplateCode!$E$2:$G$700,2,FALSE))</f>
        <v>14015595</v>
      </c>
      <c r="I519" s="31" t="str">
        <f>IF(G519="","",VLOOKUP(G519,TemplateCode!$E$2:$G$700,3,FALSE))</f>
        <v>Ca đêm</v>
      </c>
    </row>
    <row r="520" spans="1:9" ht="15.75">
      <c r="A520" s="27">
        <v>43181074</v>
      </c>
      <c r="B520" s="34" t="s">
        <v>88</v>
      </c>
      <c r="C520" s="29" t="s">
        <v>118</v>
      </c>
      <c r="D520" s="30" t="s">
        <v>17</v>
      </c>
      <c r="E520" s="31" t="str">
        <f>IF(D520="","",VLOOKUP(D520,TemplateCode!$A$2:$C$999,2,FALSE))</f>
        <v>1440</v>
      </c>
      <c r="F520" s="31" t="str">
        <f>IF(D520="","",VLOOKUP(D520,TemplateCode!$A$2:$C$999,3,FALSE))</f>
        <v>Ngày thường</v>
      </c>
      <c r="G520" s="30" t="s">
        <v>31</v>
      </c>
      <c r="H520" s="31" t="str">
        <f>IF(G520="","",VLOOKUP(G520,TemplateCode!$E$2:$G$700,2,FALSE))</f>
        <v>14015595</v>
      </c>
      <c r="I520" s="31" t="str">
        <f>IF(G520="","",VLOOKUP(G520,TemplateCode!$E$2:$G$700,3,FALSE))</f>
        <v>Ca đêm</v>
      </c>
    </row>
    <row r="521" spans="1:9" ht="15.75">
      <c r="A521" s="35">
        <v>43180750</v>
      </c>
      <c r="B521" s="28" t="s">
        <v>89</v>
      </c>
      <c r="C521" s="29" t="s">
        <v>118</v>
      </c>
      <c r="D521" s="30" t="s">
        <v>17</v>
      </c>
      <c r="E521" s="31" t="str">
        <f>IF(D521="","",VLOOKUP(D521,TemplateCode!$A$2:$C$999,2,FALSE))</f>
        <v>1440</v>
      </c>
      <c r="F521" s="31" t="str">
        <f>IF(D521="","",VLOOKUP(D521,TemplateCode!$A$2:$C$999,3,FALSE))</f>
        <v>Ngày thường</v>
      </c>
      <c r="G521" s="30" t="s">
        <v>31</v>
      </c>
      <c r="H521" s="31" t="str">
        <f>IF(G521="","",VLOOKUP(G521,TemplateCode!$E$2:$G$700,2,FALSE))</f>
        <v>14015595</v>
      </c>
      <c r="I521" s="31" t="str">
        <f>IF(G521="","",VLOOKUP(G521,TemplateCode!$E$2:$G$700,3,FALSE))</f>
        <v>Ca đêm</v>
      </c>
    </row>
    <row r="522" spans="1:9" ht="15.75">
      <c r="A522" s="35">
        <v>43181362</v>
      </c>
      <c r="B522" s="28" t="s">
        <v>90</v>
      </c>
      <c r="C522" s="29" t="s">
        <v>118</v>
      </c>
      <c r="D522" s="30" t="s">
        <v>17</v>
      </c>
      <c r="E522" s="31" t="str">
        <f>IF(D522="","",VLOOKUP(D522,TemplateCode!$A$2:$C$999,2,FALSE))</f>
        <v>1440</v>
      </c>
      <c r="F522" s="31" t="str">
        <f>IF(D522="","",VLOOKUP(D522,TemplateCode!$A$2:$C$999,3,FALSE))</f>
        <v>Ngày thường</v>
      </c>
      <c r="G522" s="30" t="s">
        <v>31</v>
      </c>
      <c r="H522" s="31" t="str">
        <f>IF(G522="","",VLOOKUP(G522,TemplateCode!$E$2:$G$700,2,FALSE))</f>
        <v>14015595</v>
      </c>
      <c r="I522" s="31" t="str">
        <f>IF(G522="","",VLOOKUP(G522,TemplateCode!$E$2:$G$700,3,FALSE))</f>
        <v>Ca đêm</v>
      </c>
    </row>
    <row r="523" spans="1:9" ht="15.75">
      <c r="A523" s="35">
        <v>43181479</v>
      </c>
      <c r="B523" s="28" t="s">
        <v>91</v>
      </c>
      <c r="C523" s="29" t="s">
        <v>118</v>
      </c>
      <c r="D523" s="30" t="s">
        <v>17</v>
      </c>
      <c r="E523" s="31" t="str">
        <f>IF(D523="","",VLOOKUP(D523,TemplateCode!$A$2:$C$999,2,FALSE))</f>
        <v>1440</v>
      </c>
      <c r="F523" s="31" t="str">
        <f>IF(D523="","",VLOOKUP(D523,TemplateCode!$A$2:$C$999,3,FALSE))</f>
        <v>Ngày thường</v>
      </c>
      <c r="G523" s="30" t="s">
        <v>31</v>
      </c>
      <c r="H523" s="31" t="str">
        <f>IF(G523="","",VLOOKUP(G523,TemplateCode!$E$2:$G$700,2,FALSE))</f>
        <v>14015595</v>
      </c>
      <c r="I523" s="31" t="str">
        <f>IF(G523="","",VLOOKUP(G523,TemplateCode!$E$2:$G$700,3,FALSE))</f>
        <v>Ca đêm</v>
      </c>
    </row>
    <row r="524" spans="1:9" ht="15.75">
      <c r="A524" s="35">
        <v>43190068</v>
      </c>
      <c r="B524" s="28" t="s">
        <v>92</v>
      </c>
      <c r="C524" s="29" t="s">
        <v>118</v>
      </c>
      <c r="D524" s="30" t="s">
        <v>17</v>
      </c>
      <c r="E524" s="31" t="str">
        <f>IF(D524="","",VLOOKUP(D524,TemplateCode!$A$2:$C$999,2,FALSE))</f>
        <v>1440</v>
      </c>
      <c r="F524" s="31" t="str">
        <f>IF(D524="","",VLOOKUP(D524,TemplateCode!$A$2:$C$999,3,FALSE))</f>
        <v>Ngày thường</v>
      </c>
      <c r="G524" s="30" t="s">
        <v>31</v>
      </c>
      <c r="H524" s="31" t="str">
        <f>IF(G524="","",VLOOKUP(G524,TemplateCode!$E$2:$G$700,2,FALSE))</f>
        <v>14015595</v>
      </c>
      <c r="I524" s="31" t="str">
        <f>IF(G524="","",VLOOKUP(G524,TemplateCode!$E$2:$G$700,3,FALSE))</f>
        <v>Ca đêm</v>
      </c>
    </row>
    <row r="525" spans="1:9" ht="15.75">
      <c r="A525" s="35">
        <v>43190084</v>
      </c>
      <c r="B525" s="28" t="s">
        <v>93</v>
      </c>
      <c r="C525" s="29" t="s">
        <v>118</v>
      </c>
      <c r="D525" s="30" t="s">
        <v>17</v>
      </c>
      <c r="E525" s="31" t="str">
        <f>IF(D525="","",VLOOKUP(D525,TemplateCode!$A$2:$C$999,2,FALSE))</f>
        <v>1440</v>
      </c>
      <c r="F525" s="31" t="str">
        <f>IF(D525="","",VLOOKUP(D525,TemplateCode!$A$2:$C$999,3,FALSE))</f>
        <v>Ngày thường</v>
      </c>
      <c r="G525" s="30" t="s">
        <v>31</v>
      </c>
      <c r="H525" s="31" t="str">
        <f>IF(G525="","",VLOOKUP(G525,TemplateCode!$E$2:$G$700,2,FALSE))</f>
        <v>14015595</v>
      </c>
      <c r="I525" s="31" t="str">
        <f>IF(G525="","",VLOOKUP(G525,TemplateCode!$E$2:$G$700,3,FALSE))</f>
        <v>Ca đêm</v>
      </c>
    </row>
    <row r="526" spans="1:9" ht="15.75">
      <c r="A526" s="27">
        <v>43190108</v>
      </c>
      <c r="B526" s="28" t="s">
        <v>94</v>
      </c>
      <c r="C526" s="29" t="s">
        <v>118</v>
      </c>
      <c r="D526" s="30" t="s">
        <v>17</v>
      </c>
      <c r="E526" s="31" t="str">
        <f>IF(D526="","",VLOOKUP(D526,TemplateCode!$A$2:$C$999,2,FALSE))</f>
        <v>1440</v>
      </c>
      <c r="F526" s="31" t="str">
        <f>IF(D526="","",VLOOKUP(D526,TemplateCode!$A$2:$C$999,3,FALSE))</f>
        <v>Ngày thường</v>
      </c>
      <c r="G526" s="30" t="s">
        <v>31</v>
      </c>
      <c r="H526" s="31" t="str">
        <f>IF(G526="","",VLOOKUP(G526,TemplateCode!$E$2:$G$700,2,FALSE))</f>
        <v>14015595</v>
      </c>
      <c r="I526" s="31" t="str">
        <f>IF(G526="","",VLOOKUP(G526,TemplateCode!$E$2:$G$700,3,FALSE))</f>
        <v>Ca đêm</v>
      </c>
    </row>
    <row r="527" spans="1:9" ht="15.75">
      <c r="A527" s="34">
        <v>43190107</v>
      </c>
      <c r="B527" s="34" t="s">
        <v>95</v>
      </c>
      <c r="C527" s="29" t="s">
        <v>118</v>
      </c>
      <c r="D527" s="30" t="s">
        <v>17</v>
      </c>
      <c r="E527" s="31" t="str">
        <f>IF(D527="","",VLOOKUP(D527,TemplateCode!$A$2:$C$999,2,FALSE))</f>
        <v>1440</v>
      </c>
      <c r="F527" s="31" t="str">
        <f>IF(D527="","",VLOOKUP(D527,TemplateCode!$A$2:$C$999,3,FALSE))</f>
        <v>Ngày thường</v>
      </c>
      <c r="G527" s="30" t="s">
        <v>31</v>
      </c>
      <c r="H527" s="31" t="str">
        <f>IF(G527="","",VLOOKUP(G527,TemplateCode!$E$2:$G$700,2,FALSE))</f>
        <v>14015595</v>
      </c>
      <c r="I527" s="31" t="str">
        <f>IF(G527="","",VLOOKUP(G527,TemplateCode!$E$2:$G$700,3,FALSE))</f>
        <v>Ca đêm</v>
      </c>
    </row>
    <row r="528" spans="1:9" ht="15.75">
      <c r="A528" s="27">
        <v>43190129</v>
      </c>
      <c r="B528" s="28" t="s">
        <v>96</v>
      </c>
      <c r="C528" s="29" t="s">
        <v>118</v>
      </c>
      <c r="D528" s="30" t="s">
        <v>17</v>
      </c>
      <c r="E528" s="31" t="str">
        <f>IF(D528="","",VLOOKUP(D528,TemplateCode!$A$2:$C$999,2,FALSE))</f>
        <v>1440</v>
      </c>
      <c r="F528" s="31" t="str">
        <f>IF(D528="","",VLOOKUP(D528,TemplateCode!$A$2:$C$999,3,FALSE))</f>
        <v>Ngày thường</v>
      </c>
      <c r="G528" s="30" t="s">
        <v>31</v>
      </c>
      <c r="H528" s="31" t="str">
        <f>IF(G528="","",VLOOKUP(G528,TemplateCode!$E$2:$G$700,2,FALSE))</f>
        <v>14015595</v>
      </c>
      <c r="I528" s="31" t="str">
        <f>IF(G528="","",VLOOKUP(G528,TemplateCode!$E$2:$G$700,3,FALSE))</f>
        <v>Ca đêm</v>
      </c>
    </row>
    <row r="529" spans="1:9" ht="15.75">
      <c r="A529" s="34">
        <v>43190248</v>
      </c>
      <c r="B529" s="34" t="s">
        <v>97</v>
      </c>
      <c r="C529" s="29" t="s">
        <v>118</v>
      </c>
      <c r="D529" s="30" t="s">
        <v>17</v>
      </c>
      <c r="E529" s="31" t="str">
        <f>IF(D529="","",VLOOKUP(D529,TemplateCode!$A$2:$C$999,2,FALSE))</f>
        <v>1440</v>
      </c>
      <c r="F529" s="31" t="str">
        <f>IF(D529="","",VLOOKUP(D529,TemplateCode!$A$2:$C$999,3,FALSE))</f>
        <v>Ngày thường</v>
      </c>
      <c r="G529" s="30" t="s">
        <v>31</v>
      </c>
      <c r="H529" s="31" t="str">
        <f>IF(G529="","",VLOOKUP(G529,TemplateCode!$E$2:$G$700,2,FALSE))</f>
        <v>14015595</v>
      </c>
      <c r="I529" s="31" t="str">
        <f>IF(G529="","",VLOOKUP(G529,TemplateCode!$E$2:$G$700,3,FALSE))</f>
        <v>Ca đêm</v>
      </c>
    </row>
    <row r="530" spans="1:9" ht="15.75">
      <c r="A530" s="34">
        <v>43190251</v>
      </c>
      <c r="B530" s="34" t="s">
        <v>98</v>
      </c>
      <c r="C530" s="29" t="s">
        <v>118</v>
      </c>
      <c r="D530" s="30" t="s">
        <v>17</v>
      </c>
      <c r="E530" s="31" t="str">
        <f>IF(D530="","",VLOOKUP(D530,TemplateCode!$A$2:$C$999,2,FALSE))</f>
        <v>1440</v>
      </c>
      <c r="F530" s="31" t="str">
        <f>IF(D530="","",VLOOKUP(D530,TemplateCode!$A$2:$C$999,3,FALSE))</f>
        <v>Ngày thường</v>
      </c>
      <c r="G530" s="30" t="s">
        <v>31</v>
      </c>
      <c r="H530" s="31" t="str">
        <f>IF(G530="","",VLOOKUP(G530,TemplateCode!$E$2:$G$700,2,FALSE))</f>
        <v>14015595</v>
      </c>
      <c r="I530" s="31" t="str">
        <f>IF(G530="","",VLOOKUP(G530,TemplateCode!$E$2:$G$700,3,FALSE))</f>
        <v>Ca đêm</v>
      </c>
    </row>
    <row r="531" spans="1:9" ht="15.75">
      <c r="A531" s="34">
        <v>43190278</v>
      </c>
      <c r="B531" s="34" t="s">
        <v>99</v>
      </c>
      <c r="C531" s="29" t="s">
        <v>118</v>
      </c>
      <c r="D531" s="30" t="s">
        <v>17</v>
      </c>
      <c r="E531" s="31" t="str">
        <f>IF(D531="","",VLOOKUP(D531,TemplateCode!$A$2:$C$999,2,FALSE))</f>
        <v>1440</v>
      </c>
      <c r="F531" s="31" t="str">
        <f>IF(D531="","",VLOOKUP(D531,TemplateCode!$A$2:$C$999,3,FALSE))</f>
        <v>Ngày thường</v>
      </c>
      <c r="G531" s="30" t="s">
        <v>31</v>
      </c>
      <c r="H531" s="31" t="str">
        <f>IF(G531="","",VLOOKUP(G531,TemplateCode!$E$2:$G$700,2,FALSE))</f>
        <v>14015595</v>
      </c>
      <c r="I531" s="31" t="str">
        <f>IF(G531="","",VLOOKUP(G531,TemplateCode!$E$2:$G$700,3,FALSE))</f>
        <v>Ca đêm</v>
      </c>
    </row>
    <row r="532" spans="1:9" ht="15.75">
      <c r="A532" s="36">
        <v>43190385</v>
      </c>
      <c r="B532" s="33" t="s">
        <v>100</v>
      </c>
      <c r="C532" s="29" t="s">
        <v>118</v>
      </c>
      <c r="D532" s="30" t="s">
        <v>17</v>
      </c>
      <c r="E532" s="31" t="str">
        <f>IF(D532="","",VLOOKUP(D532,TemplateCode!$A$2:$C$999,2,FALSE))</f>
        <v>1440</v>
      </c>
      <c r="F532" s="31" t="str">
        <f>IF(D532="","",VLOOKUP(D532,TemplateCode!$A$2:$C$999,3,FALSE))</f>
        <v>Ngày thường</v>
      </c>
      <c r="G532" s="30" t="s">
        <v>31</v>
      </c>
      <c r="H532" s="31" t="str">
        <f>IF(G532="","",VLOOKUP(G532,TemplateCode!$E$2:$G$700,2,FALSE))</f>
        <v>14015595</v>
      </c>
      <c r="I532" s="31" t="str">
        <f>IF(G532="","",VLOOKUP(G532,TemplateCode!$E$2:$G$700,3,FALSE))</f>
        <v>Ca đêm</v>
      </c>
    </row>
    <row r="533" spans="1:9" ht="15.75">
      <c r="A533" s="36">
        <v>43190389</v>
      </c>
      <c r="B533" s="33" t="s">
        <v>101</v>
      </c>
      <c r="C533" s="29" t="s">
        <v>118</v>
      </c>
      <c r="D533" s="30" t="s">
        <v>17</v>
      </c>
      <c r="E533" s="31" t="str">
        <f>IF(D533="","",VLOOKUP(D533,TemplateCode!$A$2:$C$999,2,FALSE))</f>
        <v>1440</v>
      </c>
      <c r="F533" s="31" t="str">
        <f>IF(D533="","",VLOOKUP(D533,TemplateCode!$A$2:$C$999,3,FALSE))</f>
        <v>Ngày thường</v>
      </c>
      <c r="G533" s="30" t="s">
        <v>31</v>
      </c>
      <c r="H533" s="31" t="str">
        <f>IF(G533="","",VLOOKUP(G533,TemplateCode!$E$2:$G$700,2,FALSE))</f>
        <v>14015595</v>
      </c>
      <c r="I533" s="31" t="str">
        <f>IF(G533="","",VLOOKUP(G533,TemplateCode!$E$2:$G$700,3,FALSE))</f>
        <v>Ca đêm</v>
      </c>
    </row>
    <row r="534" spans="1:9" ht="15.75">
      <c r="A534" s="35">
        <v>43181469</v>
      </c>
      <c r="B534" s="28" t="s">
        <v>102</v>
      </c>
      <c r="C534" s="29" t="s">
        <v>118</v>
      </c>
      <c r="D534" s="30" t="s">
        <v>17</v>
      </c>
      <c r="E534" s="31" t="str">
        <f>IF(D534="","",VLOOKUP(D534,TemplateCode!$A$2:$C$999,2,FALSE))</f>
        <v>1440</v>
      </c>
      <c r="F534" s="31" t="str">
        <f>IF(D534="","",VLOOKUP(D534,TemplateCode!$A$2:$C$999,3,FALSE))</f>
        <v>Ngày thường</v>
      </c>
      <c r="G534" s="30" t="s">
        <v>31</v>
      </c>
      <c r="H534" s="31" t="str">
        <f>IF(G534="","",VLOOKUP(G534,TemplateCode!$E$2:$G$700,2,FALSE))</f>
        <v>14015595</v>
      </c>
      <c r="I534" s="31" t="str">
        <f>IF(G534="","",VLOOKUP(G534,TemplateCode!$E$2:$G$700,3,FALSE))</f>
        <v>Ca đêm</v>
      </c>
    </row>
    <row r="535" spans="1:9" ht="15.75">
      <c r="A535" s="36">
        <v>43190403</v>
      </c>
      <c r="B535" s="33" t="s">
        <v>103</v>
      </c>
      <c r="C535" s="29" t="s">
        <v>118</v>
      </c>
      <c r="D535" s="30" t="s">
        <v>17</v>
      </c>
      <c r="E535" s="31" t="str">
        <f>IF(D535="","",VLOOKUP(D535,TemplateCode!$A$2:$C$999,2,FALSE))</f>
        <v>1440</v>
      </c>
      <c r="F535" s="31" t="str">
        <f>IF(D535="","",VLOOKUP(D535,TemplateCode!$A$2:$C$999,3,FALSE))</f>
        <v>Ngày thường</v>
      </c>
      <c r="G535" s="30" t="s">
        <v>31</v>
      </c>
      <c r="H535" s="31" t="str">
        <f>IF(G535="","",VLOOKUP(G535,TemplateCode!$E$2:$G$700,2,FALSE))</f>
        <v>14015595</v>
      </c>
      <c r="I535" s="31" t="str">
        <f>IF(G535="","",VLOOKUP(G535,TemplateCode!$E$2:$G$700,3,FALSE))</f>
        <v>Ca đêm</v>
      </c>
    </row>
    <row r="536" spans="1:9" ht="15.75">
      <c r="A536" s="34">
        <v>43190018</v>
      </c>
      <c r="B536" s="34" t="s">
        <v>104</v>
      </c>
      <c r="C536" s="29" t="s">
        <v>118</v>
      </c>
      <c r="D536" s="30" t="s">
        <v>17</v>
      </c>
      <c r="E536" s="31" t="str">
        <f>IF(D536="","",VLOOKUP(D536,TemplateCode!$A$2:$C$999,2,FALSE))</f>
        <v>1440</v>
      </c>
      <c r="F536" s="31" t="str">
        <f>IF(D536="","",VLOOKUP(D536,TemplateCode!$A$2:$C$999,3,FALSE))</f>
        <v>Ngày thường</v>
      </c>
      <c r="G536" s="30" t="s">
        <v>31</v>
      </c>
      <c r="H536" s="31" t="str">
        <f>IF(G536="","",VLOOKUP(G536,TemplateCode!$E$2:$G$700,2,FALSE))</f>
        <v>14015595</v>
      </c>
      <c r="I536" s="31" t="str">
        <f>IF(G536="","",VLOOKUP(G536,TemplateCode!$E$2:$G$700,3,FALSE))</f>
        <v>Ca đêm</v>
      </c>
    </row>
    <row r="537" spans="1:9" ht="15.75">
      <c r="A537" s="36">
        <v>43190460</v>
      </c>
      <c r="B537" s="33" t="s">
        <v>105</v>
      </c>
      <c r="C537" s="29" t="s">
        <v>118</v>
      </c>
      <c r="D537" s="30" t="s">
        <v>17</v>
      </c>
      <c r="E537" s="31" t="str">
        <f>IF(D537="","",VLOOKUP(D537,TemplateCode!$A$2:$C$999,2,FALSE))</f>
        <v>1440</v>
      </c>
      <c r="F537" s="31" t="str">
        <f>IF(D537="","",VLOOKUP(D537,TemplateCode!$A$2:$C$999,3,FALSE))</f>
        <v>Ngày thường</v>
      </c>
      <c r="G537" s="30" t="s">
        <v>31</v>
      </c>
      <c r="H537" s="31" t="str">
        <f>IF(G537="","",VLOOKUP(G537,TemplateCode!$E$2:$G$700,2,FALSE))</f>
        <v>14015595</v>
      </c>
      <c r="I537" s="31" t="str">
        <f>IF(G537="","",VLOOKUP(G537,TemplateCode!$E$2:$G$700,3,FALSE))</f>
        <v>Ca đêm</v>
      </c>
    </row>
    <row r="538" spans="1:9" ht="15.75">
      <c r="A538" s="27">
        <v>43181073</v>
      </c>
      <c r="B538" s="34" t="s">
        <v>106</v>
      </c>
      <c r="C538" s="29" t="s">
        <v>118</v>
      </c>
      <c r="D538" s="30" t="s">
        <v>17</v>
      </c>
      <c r="E538" s="31" t="str">
        <f>IF(D538="","",VLOOKUP(D538,TemplateCode!$A$2:$C$999,2,FALSE))</f>
        <v>1440</v>
      </c>
      <c r="F538" s="31" t="str">
        <f>IF(D538="","",VLOOKUP(D538,TemplateCode!$A$2:$C$999,3,FALSE))</f>
        <v>Ngày thường</v>
      </c>
      <c r="G538" s="30" t="s">
        <v>31</v>
      </c>
      <c r="H538" s="31" t="str">
        <f>IF(G538="","",VLOOKUP(G538,TemplateCode!$E$2:$G$700,2,FALSE))</f>
        <v>14015595</v>
      </c>
      <c r="I538" s="31" t="str">
        <f>IF(G538="","",VLOOKUP(G538,TemplateCode!$E$2:$G$700,3,FALSE))</f>
        <v>Ca đêm</v>
      </c>
    </row>
    <row r="539" spans="1:9" ht="15.75">
      <c r="A539" s="34">
        <v>43190445</v>
      </c>
      <c r="B539" s="34" t="s">
        <v>107</v>
      </c>
      <c r="C539" s="29" t="s">
        <v>118</v>
      </c>
      <c r="D539" s="30" t="s">
        <v>17</v>
      </c>
      <c r="E539" s="31" t="str">
        <f>IF(D539="","",VLOOKUP(D539,TemplateCode!$A$2:$C$999,2,FALSE))</f>
        <v>1440</v>
      </c>
      <c r="F539" s="31" t="str">
        <f>IF(D539="","",VLOOKUP(D539,TemplateCode!$A$2:$C$999,3,FALSE))</f>
        <v>Ngày thường</v>
      </c>
      <c r="G539" s="30" t="s">
        <v>31</v>
      </c>
      <c r="H539" s="31" t="str">
        <f>IF(G539="","",VLOOKUP(G539,TemplateCode!$E$2:$G$700,2,FALSE))</f>
        <v>14015595</v>
      </c>
      <c r="I539" s="31" t="str">
        <f>IF(G539="","",VLOOKUP(G539,TemplateCode!$E$2:$G$700,3,FALSE))</f>
        <v>Ca đêm</v>
      </c>
    </row>
    <row r="540" spans="1:9" ht="15.75">
      <c r="A540" s="34">
        <v>43190243</v>
      </c>
      <c r="B540" s="34" t="s">
        <v>108</v>
      </c>
      <c r="C540" s="29" t="s">
        <v>118</v>
      </c>
      <c r="D540" s="30" t="s">
        <v>17</v>
      </c>
      <c r="E540" s="31" t="str">
        <f>IF(D540="","",VLOOKUP(D540,TemplateCode!$A$2:$C$999,2,FALSE))</f>
        <v>1440</v>
      </c>
      <c r="F540" s="31" t="str">
        <f>IF(D540="","",VLOOKUP(D540,TemplateCode!$A$2:$C$999,3,FALSE))</f>
        <v>Ngày thường</v>
      </c>
      <c r="G540" s="30" t="s">
        <v>31</v>
      </c>
      <c r="H540" s="31" t="str">
        <f>IF(G540="","",VLOOKUP(G540,TemplateCode!$E$2:$G$700,2,FALSE))</f>
        <v>14015595</v>
      </c>
      <c r="I540" s="31" t="str">
        <f>IF(G540="","",VLOOKUP(G540,TemplateCode!$E$2:$G$700,3,FALSE))</f>
        <v>Ca đêm</v>
      </c>
    </row>
    <row r="541" spans="1:9" ht="15.75">
      <c r="A541" s="37">
        <v>43190805</v>
      </c>
      <c r="B541" s="37" t="s">
        <v>109</v>
      </c>
      <c r="C541" s="29" t="s">
        <v>118</v>
      </c>
      <c r="D541" s="30" t="s">
        <v>17</v>
      </c>
      <c r="E541" s="31" t="str">
        <f>IF(D541="","",VLOOKUP(D541,TemplateCode!$A$2:$C$999,2,FALSE))</f>
        <v>1440</v>
      </c>
      <c r="F541" s="31" t="str">
        <f>IF(D541="","",VLOOKUP(D541,TemplateCode!$A$2:$C$999,3,FALSE))</f>
        <v>Ngày thường</v>
      </c>
      <c r="G541" s="30" t="s">
        <v>31</v>
      </c>
      <c r="H541" s="31" t="str">
        <f>IF(G541="","",VLOOKUP(G541,TemplateCode!$E$2:$G$700,2,FALSE))</f>
        <v>14015595</v>
      </c>
      <c r="I541" s="31" t="str">
        <f>IF(G541="","",VLOOKUP(G541,TemplateCode!$E$2:$G$700,3,FALSE))</f>
        <v>Ca đêm</v>
      </c>
    </row>
    <row r="542" spans="1:9" ht="15.75">
      <c r="A542" s="14">
        <v>43181429</v>
      </c>
      <c r="B542" s="14" t="s">
        <v>55</v>
      </c>
      <c r="C542" s="12" t="s">
        <v>119</v>
      </c>
      <c r="D542" s="11" t="s">
        <v>17</v>
      </c>
      <c r="E542" s="10" t="str">
        <f>IF(D542="","",VLOOKUP(D542,TemplateCode!$A$2:$C$999,2,FALSE))</f>
        <v>1440</v>
      </c>
      <c r="F542" s="10" t="str">
        <f>IF(D542="","",VLOOKUP(D542,TemplateCode!$A$2:$C$999,3,FALSE))</f>
        <v>Ngày thường</v>
      </c>
      <c r="G542" s="11" t="s">
        <v>52</v>
      </c>
      <c r="H542" s="10" t="str">
        <f>IF(G542="","",VLOOKUP(G542,TemplateCode!$E$2:$G$700,2,FALSE))</f>
        <v>90000456</v>
      </c>
      <c r="I542" s="10" t="str">
        <f>IF(G542="","",VLOOKUP(G542,TemplateCode!$E$2:$G$700,3,FALSE))</f>
        <v>Ca ngày</v>
      </c>
    </row>
    <row r="543" spans="1:9" ht="15.75">
      <c r="A543" s="15">
        <v>43181308</v>
      </c>
      <c r="B543" s="15" t="s">
        <v>56</v>
      </c>
      <c r="C543" s="12" t="s">
        <v>119</v>
      </c>
      <c r="D543" s="11" t="s">
        <v>17</v>
      </c>
      <c r="E543" s="10" t="str">
        <f>IF(D543="","",VLOOKUP(D543,TemplateCode!$A$2:$C$999,2,FALSE))</f>
        <v>1440</v>
      </c>
      <c r="F543" s="10" t="str">
        <f>IF(D543="","",VLOOKUP(D543,TemplateCode!$A$2:$C$999,3,FALSE))</f>
        <v>Ngày thường</v>
      </c>
      <c r="G543" s="11" t="s">
        <v>52</v>
      </c>
      <c r="H543" s="10" t="str">
        <f>IF(G543="","",VLOOKUP(G543,TemplateCode!$E$2:$G$700,2,FALSE))</f>
        <v>90000456</v>
      </c>
      <c r="I543" s="10" t="str">
        <f>IF(G543="","",VLOOKUP(G543,TemplateCode!$E$2:$G$700,3,FALSE))</f>
        <v>Ca ngày</v>
      </c>
    </row>
    <row r="544" spans="1:9" ht="15.75">
      <c r="A544" s="16">
        <v>43181355</v>
      </c>
      <c r="B544" s="17" t="s">
        <v>57</v>
      </c>
      <c r="C544" s="12" t="s">
        <v>119</v>
      </c>
      <c r="D544" s="11" t="s">
        <v>17</v>
      </c>
      <c r="E544" s="10" t="str">
        <f>IF(D544="","",VLOOKUP(D544,TemplateCode!$A$2:$C$999,2,FALSE))</f>
        <v>1440</v>
      </c>
      <c r="F544" s="10" t="str">
        <f>IF(D544="","",VLOOKUP(D544,TemplateCode!$A$2:$C$999,3,FALSE))</f>
        <v>Ngày thường</v>
      </c>
      <c r="G544" s="11" t="s">
        <v>52</v>
      </c>
      <c r="H544" s="10" t="str">
        <f>IF(G544="","",VLOOKUP(G544,TemplateCode!$E$2:$G$700,2,FALSE))</f>
        <v>90000456</v>
      </c>
      <c r="I544" s="10" t="str">
        <f>IF(G544="","",VLOOKUP(G544,TemplateCode!$E$2:$G$700,3,FALSE))</f>
        <v>Ca ngày</v>
      </c>
    </row>
    <row r="545" spans="1:9" ht="15.75">
      <c r="A545" s="15">
        <v>43181462</v>
      </c>
      <c r="B545" s="17" t="s">
        <v>58</v>
      </c>
      <c r="C545" s="12" t="s">
        <v>119</v>
      </c>
      <c r="D545" s="11" t="s">
        <v>17</v>
      </c>
      <c r="E545" s="10" t="str">
        <f>IF(D545="","",VLOOKUP(D545,TemplateCode!$A$2:$C$999,2,FALSE))</f>
        <v>1440</v>
      </c>
      <c r="F545" s="10" t="str">
        <f>IF(D545="","",VLOOKUP(D545,TemplateCode!$A$2:$C$999,3,FALSE))</f>
        <v>Ngày thường</v>
      </c>
      <c r="G545" s="11" t="s">
        <v>52</v>
      </c>
      <c r="H545" s="10" t="str">
        <f>IF(G545="","",VLOOKUP(G545,TemplateCode!$E$2:$G$700,2,FALSE))</f>
        <v>90000456</v>
      </c>
      <c r="I545" s="10" t="str">
        <f>IF(G545="","",VLOOKUP(G545,TemplateCode!$E$2:$G$700,3,FALSE))</f>
        <v>Ca ngày</v>
      </c>
    </row>
    <row r="546" spans="1:9" ht="15.75">
      <c r="A546" s="18">
        <v>43181463</v>
      </c>
      <c r="B546" s="17" t="s">
        <v>59</v>
      </c>
      <c r="C546" s="12" t="s">
        <v>119</v>
      </c>
      <c r="D546" s="11" t="s">
        <v>17</v>
      </c>
      <c r="E546" s="10" t="str">
        <f>IF(D546="","",VLOOKUP(D546,TemplateCode!$A$2:$C$999,2,FALSE))</f>
        <v>1440</v>
      </c>
      <c r="F546" s="10" t="str">
        <f>IF(D546="","",VLOOKUP(D546,TemplateCode!$A$2:$C$999,3,FALSE))</f>
        <v>Ngày thường</v>
      </c>
      <c r="G546" s="11" t="s">
        <v>52</v>
      </c>
      <c r="H546" s="10" t="str">
        <f>IF(G546="","",VLOOKUP(G546,TemplateCode!$E$2:$G$700,2,FALSE))</f>
        <v>90000456</v>
      </c>
      <c r="I546" s="10" t="str">
        <f>IF(G546="","",VLOOKUP(G546,TemplateCode!$E$2:$G$700,3,FALSE))</f>
        <v>Ca ngày</v>
      </c>
    </row>
    <row r="547" spans="1:9" ht="15.75">
      <c r="A547" s="15">
        <v>43181487</v>
      </c>
      <c r="B547" s="15" t="s">
        <v>60</v>
      </c>
      <c r="C547" s="12" t="s">
        <v>119</v>
      </c>
      <c r="D547" s="11" t="s">
        <v>17</v>
      </c>
      <c r="E547" s="10" t="str">
        <f>IF(D547="","",VLOOKUP(D547,TemplateCode!$A$2:$C$999,2,FALSE))</f>
        <v>1440</v>
      </c>
      <c r="F547" s="10" t="str">
        <f>IF(D547="","",VLOOKUP(D547,TemplateCode!$A$2:$C$999,3,FALSE))</f>
        <v>Ngày thường</v>
      </c>
      <c r="G547" s="11" t="s">
        <v>52</v>
      </c>
      <c r="H547" s="10" t="str">
        <f>IF(G547="","",VLOOKUP(G547,TemplateCode!$E$2:$G$700,2,FALSE))</f>
        <v>90000456</v>
      </c>
      <c r="I547" s="10" t="str">
        <f>IF(G547="","",VLOOKUP(G547,TemplateCode!$E$2:$G$700,3,FALSE))</f>
        <v>Ca ngày</v>
      </c>
    </row>
    <row r="548" spans="1:9" ht="15.75">
      <c r="A548" s="15">
        <v>43181490</v>
      </c>
      <c r="B548" s="15" t="s">
        <v>61</v>
      </c>
      <c r="C548" s="12" t="s">
        <v>119</v>
      </c>
      <c r="D548" s="11" t="s">
        <v>17</v>
      </c>
      <c r="E548" s="10" t="str">
        <f>IF(D548="","",VLOOKUP(D548,TemplateCode!$A$2:$C$999,2,FALSE))</f>
        <v>1440</v>
      </c>
      <c r="F548" s="10" t="str">
        <f>IF(D548="","",VLOOKUP(D548,TemplateCode!$A$2:$C$999,3,FALSE))</f>
        <v>Ngày thường</v>
      </c>
      <c r="G548" s="11" t="s">
        <v>52</v>
      </c>
      <c r="H548" s="10" t="str">
        <f>IF(G548="","",VLOOKUP(G548,TemplateCode!$E$2:$G$700,2,FALSE))</f>
        <v>90000456</v>
      </c>
      <c r="I548" s="10" t="str">
        <f>IF(G548="","",VLOOKUP(G548,TemplateCode!$E$2:$G$700,3,FALSE))</f>
        <v>Ca ngày</v>
      </c>
    </row>
    <row r="549" spans="1:9" ht="15.75">
      <c r="A549" s="15">
        <v>43190015</v>
      </c>
      <c r="B549" s="15" t="s">
        <v>62</v>
      </c>
      <c r="C549" s="12" t="s">
        <v>119</v>
      </c>
      <c r="D549" s="11" t="s">
        <v>17</v>
      </c>
      <c r="E549" s="10" t="str">
        <f>IF(D549="","",VLOOKUP(D549,TemplateCode!$A$2:$C$999,2,FALSE))</f>
        <v>1440</v>
      </c>
      <c r="F549" s="10" t="str">
        <f>IF(D549="","",VLOOKUP(D549,TemplateCode!$A$2:$C$999,3,FALSE))</f>
        <v>Ngày thường</v>
      </c>
      <c r="G549" s="11" t="s">
        <v>52</v>
      </c>
      <c r="H549" s="10" t="str">
        <f>IF(G549="","",VLOOKUP(G549,TemplateCode!$E$2:$G$700,2,FALSE))</f>
        <v>90000456</v>
      </c>
      <c r="I549" s="10" t="str">
        <f>IF(G549="","",VLOOKUP(G549,TemplateCode!$E$2:$G$700,3,FALSE))</f>
        <v>Ca ngày</v>
      </c>
    </row>
    <row r="550" spans="1:9" ht="15.75">
      <c r="A550" s="15">
        <v>43190023</v>
      </c>
      <c r="B550" s="15" t="s">
        <v>63</v>
      </c>
      <c r="C550" s="12" t="s">
        <v>119</v>
      </c>
      <c r="D550" s="11" t="s">
        <v>17</v>
      </c>
      <c r="E550" s="10" t="str">
        <f>IF(D550="","",VLOOKUP(D550,TemplateCode!$A$2:$C$999,2,FALSE))</f>
        <v>1440</v>
      </c>
      <c r="F550" s="10" t="str">
        <f>IF(D550="","",VLOOKUP(D550,TemplateCode!$A$2:$C$999,3,FALSE))</f>
        <v>Ngày thường</v>
      </c>
      <c r="G550" s="11" t="s">
        <v>52</v>
      </c>
      <c r="H550" s="10" t="str">
        <f>IF(G550="","",VLOOKUP(G550,TemplateCode!$E$2:$G$700,2,FALSE))</f>
        <v>90000456</v>
      </c>
      <c r="I550" s="10" t="str">
        <f>IF(G550="","",VLOOKUP(G550,TemplateCode!$E$2:$G$700,3,FALSE))</f>
        <v>Ca ngày</v>
      </c>
    </row>
    <row r="551" spans="1:9" ht="15.75">
      <c r="A551" s="15">
        <v>43190030</v>
      </c>
      <c r="B551" s="15" t="s">
        <v>64</v>
      </c>
      <c r="C551" s="12" t="s">
        <v>119</v>
      </c>
      <c r="D551" s="11" t="s">
        <v>17</v>
      </c>
      <c r="E551" s="10" t="str">
        <f>IF(D551="","",VLOOKUP(D551,TemplateCode!$A$2:$C$999,2,FALSE))</f>
        <v>1440</v>
      </c>
      <c r="F551" s="10" t="str">
        <f>IF(D551="","",VLOOKUP(D551,TemplateCode!$A$2:$C$999,3,FALSE))</f>
        <v>Ngày thường</v>
      </c>
      <c r="G551" s="11" t="s">
        <v>52</v>
      </c>
      <c r="H551" s="10" t="str">
        <f>IF(G551="","",VLOOKUP(G551,TemplateCode!$E$2:$G$700,2,FALSE))</f>
        <v>90000456</v>
      </c>
      <c r="I551" s="10" t="str">
        <f>IF(G551="","",VLOOKUP(G551,TemplateCode!$E$2:$G$700,3,FALSE))</f>
        <v>Ca ngày</v>
      </c>
    </row>
    <row r="552" spans="1:9" ht="15.75">
      <c r="A552" s="15">
        <v>43190041</v>
      </c>
      <c r="B552" s="15" t="s">
        <v>65</v>
      </c>
      <c r="C552" s="12" t="s">
        <v>119</v>
      </c>
      <c r="D552" s="11" t="s">
        <v>17</v>
      </c>
      <c r="E552" s="10" t="str">
        <f>IF(D552="","",VLOOKUP(D552,TemplateCode!$A$2:$C$999,2,FALSE))</f>
        <v>1440</v>
      </c>
      <c r="F552" s="10" t="str">
        <f>IF(D552="","",VLOOKUP(D552,TemplateCode!$A$2:$C$999,3,FALSE))</f>
        <v>Ngày thường</v>
      </c>
      <c r="G552" s="11" t="s">
        <v>52</v>
      </c>
      <c r="H552" s="10" t="str">
        <f>IF(G552="","",VLOOKUP(G552,TemplateCode!$E$2:$G$700,2,FALSE))</f>
        <v>90000456</v>
      </c>
      <c r="I552" s="10" t="str">
        <f>IF(G552="","",VLOOKUP(G552,TemplateCode!$E$2:$G$700,3,FALSE))</f>
        <v>Ca ngày</v>
      </c>
    </row>
    <row r="553" spans="1:9" ht="15.75">
      <c r="A553" s="16">
        <v>43190065</v>
      </c>
      <c r="B553" s="15" t="s">
        <v>66</v>
      </c>
      <c r="C553" s="12" t="s">
        <v>119</v>
      </c>
      <c r="D553" s="11" t="s">
        <v>17</v>
      </c>
      <c r="E553" s="10" t="str">
        <f>IF(D553="","",VLOOKUP(D553,TemplateCode!$A$2:$C$999,2,FALSE))</f>
        <v>1440</v>
      </c>
      <c r="F553" s="10" t="str">
        <f>IF(D553="","",VLOOKUP(D553,TemplateCode!$A$2:$C$999,3,FALSE))</f>
        <v>Ngày thường</v>
      </c>
      <c r="G553" s="11" t="s">
        <v>52</v>
      </c>
      <c r="H553" s="10" t="str">
        <f>IF(G553="","",VLOOKUP(G553,TemplateCode!$E$2:$G$700,2,FALSE))</f>
        <v>90000456</v>
      </c>
      <c r="I553" s="10" t="str">
        <f>IF(G553="","",VLOOKUP(G553,TemplateCode!$E$2:$G$700,3,FALSE))</f>
        <v>Ca ngày</v>
      </c>
    </row>
    <row r="554" spans="1:9" ht="15.75">
      <c r="A554" s="16">
        <v>43190105</v>
      </c>
      <c r="B554" s="15" t="s">
        <v>67</v>
      </c>
      <c r="C554" s="12" t="s">
        <v>119</v>
      </c>
      <c r="D554" s="11" t="s">
        <v>17</v>
      </c>
      <c r="E554" s="10" t="str">
        <f>IF(D554="","",VLOOKUP(D554,TemplateCode!$A$2:$C$999,2,FALSE))</f>
        <v>1440</v>
      </c>
      <c r="F554" s="10" t="str">
        <f>IF(D554="","",VLOOKUP(D554,TemplateCode!$A$2:$C$999,3,FALSE))</f>
        <v>Ngày thường</v>
      </c>
      <c r="G554" s="11" t="s">
        <v>52</v>
      </c>
      <c r="H554" s="10" t="str">
        <f>IF(G554="","",VLOOKUP(G554,TemplateCode!$E$2:$G$700,2,FALSE))</f>
        <v>90000456</v>
      </c>
      <c r="I554" s="10" t="str">
        <f>IF(G554="","",VLOOKUP(G554,TemplateCode!$E$2:$G$700,3,FALSE))</f>
        <v>Ca ngày</v>
      </c>
    </row>
    <row r="555" spans="1:9" ht="15.75">
      <c r="A555" s="16">
        <v>43190109</v>
      </c>
      <c r="B555" s="17" t="s">
        <v>68</v>
      </c>
      <c r="C555" s="12" t="s">
        <v>119</v>
      </c>
      <c r="D555" s="11" t="s">
        <v>17</v>
      </c>
      <c r="E555" s="10" t="str">
        <f>IF(D555="","",VLOOKUP(D555,TemplateCode!$A$2:$C$999,2,FALSE))</f>
        <v>1440</v>
      </c>
      <c r="F555" s="10" t="str">
        <f>IF(D555="","",VLOOKUP(D555,TemplateCode!$A$2:$C$999,3,FALSE))</f>
        <v>Ngày thường</v>
      </c>
      <c r="G555" s="11" t="s">
        <v>52</v>
      </c>
      <c r="H555" s="10" t="str">
        <f>IF(G555="","",VLOOKUP(G555,TemplateCode!$E$2:$G$700,2,FALSE))</f>
        <v>90000456</v>
      </c>
      <c r="I555" s="10" t="str">
        <f>IF(G555="","",VLOOKUP(G555,TemplateCode!$E$2:$G$700,3,FALSE))</f>
        <v>Ca ngày</v>
      </c>
    </row>
    <row r="556" spans="1:9" ht="15.75">
      <c r="A556" s="18">
        <v>43190124</v>
      </c>
      <c r="B556" s="17" t="s">
        <v>69</v>
      </c>
      <c r="C556" s="12" t="s">
        <v>119</v>
      </c>
      <c r="D556" s="11" t="s">
        <v>17</v>
      </c>
      <c r="E556" s="10" t="str">
        <f>IF(D556="","",VLOOKUP(D556,TemplateCode!$A$2:$C$999,2,FALSE))</f>
        <v>1440</v>
      </c>
      <c r="F556" s="10" t="str">
        <f>IF(D556="","",VLOOKUP(D556,TemplateCode!$A$2:$C$999,3,FALSE))</f>
        <v>Ngày thường</v>
      </c>
      <c r="G556" s="11" t="s">
        <v>52</v>
      </c>
      <c r="H556" s="10" t="str">
        <f>IF(G556="","",VLOOKUP(G556,TemplateCode!$E$2:$G$700,2,FALSE))</f>
        <v>90000456</v>
      </c>
      <c r="I556" s="10" t="str">
        <f>IF(G556="","",VLOOKUP(G556,TemplateCode!$E$2:$G$700,3,FALSE))</f>
        <v>Ca ngày</v>
      </c>
    </row>
    <row r="557" spans="1:9" ht="15.75">
      <c r="A557" s="15">
        <v>43190125</v>
      </c>
      <c r="B557" s="15" t="s">
        <v>70</v>
      </c>
      <c r="C557" s="12" t="s">
        <v>119</v>
      </c>
      <c r="D557" s="11" t="s">
        <v>17</v>
      </c>
      <c r="E557" s="10" t="str">
        <f>IF(D557="","",VLOOKUP(D557,TemplateCode!$A$2:$C$999,2,FALSE))</f>
        <v>1440</v>
      </c>
      <c r="F557" s="10" t="str">
        <f>IF(D557="","",VLOOKUP(D557,TemplateCode!$A$2:$C$999,3,FALSE))</f>
        <v>Ngày thường</v>
      </c>
      <c r="G557" s="11" t="s">
        <v>52</v>
      </c>
      <c r="H557" s="10" t="str">
        <f>IF(G557="","",VLOOKUP(G557,TemplateCode!$E$2:$G$700,2,FALSE))</f>
        <v>90000456</v>
      </c>
      <c r="I557" s="10" t="str">
        <f>IF(G557="","",VLOOKUP(G557,TemplateCode!$E$2:$G$700,3,FALSE))</f>
        <v>Ca ngày</v>
      </c>
    </row>
    <row r="558" spans="1:9" ht="15.75">
      <c r="A558" s="15">
        <v>43190126</v>
      </c>
      <c r="B558" s="15" t="s">
        <v>71</v>
      </c>
      <c r="C558" s="12" t="s">
        <v>119</v>
      </c>
      <c r="D558" s="11" t="s">
        <v>17</v>
      </c>
      <c r="E558" s="10" t="str">
        <f>IF(D558="","",VLOOKUP(D558,TemplateCode!$A$2:$C$999,2,FALSE))</f>
        <v>1440</v>
      </c>
      <c r="F558" s="10" t="str">
        <f>IF(D558="","",VLOOKUP(D558,TemplateCode!$A$2:$C$999,3,FALSE))</f>
        <v>Ngày thường</v>
      </c>
      <c r="G558" s="11" t="s">
        <v>52</v>
      </c>
      <c r="H558" s="10" t="str">
        <f>IF(G558="","",VLOOKUP(G558,TemplateCode!$E$2:$G$700,2,FALSE))</f>
        <v>90000456</v>
      </c>
      <c r="I558" s="10" t="str">
        <f>IF(G558="","",VLOOKUP(G558,TemplateCode!$E$2:$G$700,3,FALSE))</f>
        <v>Ca ngày</v>
      </c>
    </row>
    <row r="559" spans="1:9" ht="15.75">
      <c r="A559" s="15">
        <v>43190169</v>
      </c>
      <c r="B559" s="15" t="s">
        <v>72</v>
      </c>
      <c r="C559" s="12" t="s">
        <v>119</v>
      </c>
      <c r="D559" s="11" t="s">
        <v>17</v>
      </c>
      <c r="E559" s="10" t="str">
        <f>IF(D559="","",VLOOKUP(D559,TemplateCode!$A$2:$C$999,2,FALSE))</f>
        <v>1440</v>
      </c>
      <c r="F559" s="10" t="str">
        <f>IF(D559="","",VLOOKUP(D559,TemplateCode!$A$2:$C$999,3,FALSE))</f>
        <v>Ngày thường</v>
      </c>
      <c r="G559" s="11" t="s">
        <v>52</v>
      </c>
      <c r="H559" s="10" t="str">
        <f>IF(G559="","",VLOOKUP(G559,TemplateCode!$E$2:$G$700,2,FALSE))</f>
        <v>90000456</v>
      </c>
      <c r="I559" s="10" t="str">
        <f>IF(G559="","",VLOOKUP(G559,TemplateCode!$E$2:$G$700,3,FALSE))</f>
        <v>Ca ngày</v>
      </c>
    </row>
    <row r="560" spans="1:9" ht="15.75">
      <c r="A560" s="16">
        <v>43190163</v>
      </c>
      <c r="B560" s="17" t="s">
        <v>73</v>
      </c>
      <c r="C560" s="12" t="s">
        <v>119</v>
      </c>
      <c r="D560" s="11" t="s">
        <v>17</v>
      </c>
      <c r="E560" s="10" t="str">
        <f>IF(D560="","",VLOOKUP(D560,TemplateCode!$A$2:$C$999,2,FALSE))</f>
        <v>1440</v>
      </c>
      <c r="F560" s="10" t="str">
        <f>IF(D560="","",VLOOKUP(D560,TemplateCode!$A$2:$C$999,3,FALSE))</f>
        <v>Ngày thường</v>
      </c>
      <c r="G560" s="11" t="s">
        <v>52</v>
      </c>
      <c r="H560" s="10" t="str">
        <f>IF(G560="","",VLOOKUP(G560,TemplateCode!$E$2:$G$700,2,FALSE))</f>
        <v>90000456</v>
      </c>
      <c r="I560" s="10" t="str">
        <f>IF(G560="","",VLOOKUP(G560,TemplateCode!$E$2:$G$700,3,FALSE))</f>
        <v>Ca ngày</v>
      </c>
    </row>
    <row r="561" spans="1:9" ht="15.75">
      <c r="A561" s="19">
        <v>43190435</v>
      </c>
      <c r="B561" s="20" t="s">
        <v>74</v>
      </c>
      <c r="C561" s="12" t="s">
        <v>119</v>
      </c>
      <c r="D561" s="11" t="s">
        <v>17</v>
      </c>
      <c r="E561" s="10" t="str">
        <f>IF(D561="","",VLOOKUP(D561,TemplateCode!$A$2:$C$999,2,FALSE))</f>
        <v>1440</v>
      </c>
      <c r="F561" s="10" t="str">
        <f>IF(D561="","",VLOOKUP(D561,TemplateCode!$A$2:$C$999,3,FALSE))</f>
        <v>Ngày thường</v>
      </c>
      <c r="G561" s="11" t="s">
        <v>52</v>
      </c>
      <c r="H561" s="10" t="str">
        <f>IF(G561="","",VLOOKUP(G561,TemplateCode!$E$2:$G$700,2,FALSE))</f>
        <v>90000456</v>
      </c>
      <c r="I561" s="10" t="str">
        <f>IF(G561="","",VLOOKUP(G561,TemplateCode!$E$2:$G$700,3,FALSE))</f>
        <v>Ca ngày</v>
      </c>
    </row>
    <row r="562" spans="1:9" ht="15.75">
      <c r="A562" s="21">
        <v>43190459</v>
      </c>
      <c r="B562" s="20" t="s">
        <v>75</v>
      </c>
      <c r="C562" s="12" t="s">
        <v>119</v>
      </c>
      <c r="D562" s="11" t="s">
        <v>17</v>
      </c>
      <c r="E562" s="10" t="str">
        <f>IF(D562="","",VLOOKUP(D562,TemplateCode!$A$2:$C$999,2,FALSE))</f>
        <v>1440</v>
      </c>
      <c r="F562" s="10" t="str">
        <f>IF(D562="","",VLOOKUP(D562,TemplateCode!$A$2:$C$999,3,FALSE))</f>
        <v>Ngày thường</v>
      </c>
      <c r="G562" s="11" t="s">
        <v>52</v>
      </c>
      <c r="H562" s="10" t="str">
        <f>IF(G562="","",VLOOKUP(G562,TemplateCode!$E$2:$G$700,2,FALSE))</f>
        <v>90000456</v>
      </c>
      <c r="I562" s="10" t="str">
        <f>IF(G562="","",VLOOKUP(G562,TemplateCode!$E$2:$G$700,3,FALSE))</f>
        <v>Ca ngày</v>
      </c>
    </row>
    <row r="563" spans="1:9" ht="15.75">
      <c r="A563" s="19">
        <v>43190506</v>
      </c>
      <c r="B563" s="20" t="s">
        <v>76</v>
      </c>
      <c r="C563" s="12" t="s">
        <v>119</v>
      </c>
      <c r="D563" s="11" t="s">
        <v>17</v>
      </c>
      <c r="E563" s="10" t="str">
        <f>IF(D563="","",VLOOKUP(D563,TemplateCode!$A$2:$C$999,2,FALSE))</f>
        <v>1440</v>
      </c>
      <c r="F563" s="10" t="str">
        <f>IF(D563="","",VLOOKUP(D563,TemplateCode!$A$2:$C$999,3,FALSE))</f>
        <v>Ngày thường</v>
      </c>
      <c r="G563" s="11" t="s">
        <v>52</v>
      </c>
      <c r="H563" s="10" t="str">
        <f>IF(G563="","",VLOOKUP(G563,TemplateCode!$E$2:$G$700,2,FALSE))</f>
        <v>90000456</v>
      </c>
      <c r="I563" s="10" t="str">
        <f>IF(G563="","",VLOOKUP(G563,TemplateCode!$E$2:$G$700,3,FALSE))</f>
        <v>Ca ngày</v>
      </c>
    </row>
    <row r="564" spans="1:9" ht="15.75">
      <c r="A564" s="22">
        <v>43190785</v>
      </c>
      <c r="B564" s="22" t="s">
        <v>77</v>
      </c>
      <c r="C564" s="12" t="s">
        <v>119</v>
      </c>
      <c r="D564" s="11" t="s">
        <v>17</v>
      </c>
      <c r="E564" s="10" t="str">
        <f>IF(D564="","",VLOOKUP(D564,TemplateCode!$A$2:$C$999,2,FALSE))</f>
        <v>1440</v>
      </c>
      <c r="F564" s="10" t="str">
        <f>IF(D564="","",VLOOKUP(D564,TemplateCode!$A$2:$C$999,3,FALSE))</f>
        <v>Ngày thường</v>
      </c>
      <c r="G564" s="11" t="s">
        <v>52</v>
      </c>
      <c r="H564" s="10" t="str">
        <f>IF(G564="","",VLOOKUP(G564,TemplateCode!$E$2:$G$700,2,FALSE))</f>
        <v>90000456</v>
      </c>
      <c r="I564" s="10" t="str">
        <f>IF(G564="","",VLOOKUP(G564,TemplateCode!$E$2:$G$700,3,FALSE))</f>
        <v>Ca ngày</v>
      </c>
    </row>
    <row r="565" spans="1:9" ht="18.75">
      <c r="A565" s="13">
        <v>43190799</v>
      </c>
      <c r="B565" s="23" t="s">
        <v>78</v>
      </c>
      <c r="C565" s="12" t="s">
        <v>119</v>
      </c>
      <c r="D565" s="11" t="s">
        <v>17</v>
      </c>
      <c r="E565" s="10" t="str">
        <f>IF(D565="","",VLOOKUP(D565,TemplateCode!$A$2:$C$999,2,FALSE))</f>
        <v>1440</v>
      </c>
      <c r="F565" s="10" t="str">
        <f>IF(D565="","",VLOOKUP(D565,TemplateCode!$A$2:$C$999,3,FALSE))</f>
        <v>Ngày thường</v>
      </c>
      <c r="G565" s="11" t="s">
        <v>52</v>
      </c>
      <c r="H565" s="10" t="str">
        <f>IF(G565="","",VLOOKUP(G565,TemplateCode!$E$2:$G$700,2,FALSE))</f>
        <v>90000456</v>
      </c>
      <c r="I565" s="10" t="str">
        <f>IF(G565="","",VLOOKUP(G565,TemplateCode!$E$2:$G$700,3,FALSE))</f>
        <v>Ca ngày</v>
      </c>
    </row>
    <row r="566" spans="1:9" ht="18.75">
      <c r="A566" s="13">
        <v>43190800</v>
      </c>
      <c r="B566" s="23" t="s">
        <v>79</v>
      </c>
      <c r="C566" s="12" t="s">
        <v>119</v>
      </c>
      <c r="D566" s="11" t="s">
        <v>17</v>
      </c>
      <c r="E566" s="10" t="str">
        <f>IF(D566="","",VLOOKUP(D566,TemplateCode!$A$2:$C$999,2,FALSE))</f>
        <v>1440</v>
      </c>
      <c r="F566" s="10" t="str">
        <f>IF(D566="","",VLOOKUP(D566,TemplateCode!$A$2:$C$999,3,FALSE))</f>
        <v>Ngày thường</v>
      </c>
      <c r="G566" s="11" t="s">
        <v>52</v>
      </c>
      <c r="H566" s="10" t="str">
        <f>IF(G566="","",VLOOKUP(G566,TemplateCode!$E$2:$G$700,2,FALSE))</f>
        <v>90000456</v>
      </c>
      <c r="I566" s="10" t="str">
        <f>IF(G566="","",VLOOKUP(G566,TemplateCode!$E$2:$G$700,3,FALSE))</f>
        <v>Ca ngày</v>
      </c>
    </row>
    <row r="567" spans="1:9" ht="15.75">
      <c r="A567" s="24">
        <v>43190817</v>
      </c>
      <c r="B567" s="25" t="s">
        <v>80</v>
      </c>
      <c r="C567" s="12" t="s">
        <v>119</v>
      </c>
      <c r="D567" s="11" t="s">
        <v>17</v>
      </c>
      <c r="E567" s="10" t="str">
        <f>IF(D567="","",VLOOKUP(D567,TemplateCode!$A$2:$C$999,2,FALSE))</f>
        <v>1440</v>
      </c>
      <c r="F567" s="10" t="str">
        <f>IF(D567="","",VLOOKUP(D567,TemplateCode!$A$2:$C$999,3,FALSE))</f>
        <v>Ngày thường</v>
      </c>
      <c r="G567" s="11" t="s">
        <v>52</v>
      </c>
      <c r="H567" s="10" t="str">
        <f>IF(G567="","",VLOOKUP(G567,TemplateCode!$E$2:$G$700,2,FALSE))</f>
        <v>90000456</v>
      </c>
      <c r="I567" s="10" t="str">
        <f>IF(G567="","",VLOOKUP(G567,TemplateCode!$E$2:$G$700,3,FALSE))</f>
        <v>Ca ngày</v>
      </c>
    </row>
    <row r="568" spans="1:9" ht="15.75">
      <c r="A568" s="26">
        <v>43190892</v>
      </c>
      <c r="B568" s="22" t="s">
        <v>81</v>
      </c>
      <c r="C568" s="12" t="s">
        <v>119</v>
      </c>
      <c r="D568" s="11" t="s">
        <v>17</v>
      </c>
      <c r="E568" s="10" t="str">
        <f>IF(D568="","",VLOOKUP(D568,TemplateCode!$A$2:$C$999,2,FALSE))</f>
        <v>1440</v>
      </c>
      <c r="F568" s="10" t="str">
        <f>IF(D568="","",VLOOKUP(D568,TemplateCode!$A$2:$C$999,3,FALSE))</f>
        <v>Ngày thường</v>
      </c>
      <c r="G568" s="11" t="s">
        <v>52</v>
      </c>
      <c r="H568" s="10" t="str">
        <f>IF(G568="","",VLOOKUP(G568,TemplateCode!$E$2:$G$700,2,FALSE))</f>
        <v>90000456</v>
      </c>
      <c r="I568" s="10" t="str">
        <f>IF(G568="","",VLOOKUP(G568,TemplateCode!$E$2:$G$700,3,FALSE))</f>
        <v>Ca ngày</v>
      </c>
    </row>
    <row r="569" spans="1:9" ht="15.75">
      <c r="A569" s="26">
        <v>43190893</v>
      </c>
      <c r="B569" s="22" t="s">
        <v>82</v>
      </c>
      <c r="C569" s="12" t="s">
        <v>119</v>
      </c>
      <c r="D569" s="11" t="s">
        <v>17</v>
      </c>
      <c r="E569" s="10" t="str">
        <f>IF(D569="","",VLOOKUP(D569,TemplateCode!$A$2:$C$999,2,FALSE))</f>
        <v>1440</v>
      </c>
      <c r="F569" s="10" t="str">
        <f>IF(D569="","",VLOOKUP(D569,TemplateCode!$A$2:$C$999,3,FALSE))</f>
        <v>Ngày thường</v>
      </c>
      <c r="G569" s="11" t="s">
        <v>52</v>
      </c>
      <c r="H569" s="10" t="str">
        <f>IF(G569="","",VLOOKUP(G569,TemplateCode!$E$2:$G$700,2,FALSE))</f>
        <v>90000456</v>
      </c>
      <c r="I569" s="10" t="str">
        <f>IF(G569="","",VLOOKUP(G569,TemplateCode!$E$2:$G$700,3,FALSE))</f>
        <v>Ca ngày</v>
      </c>
    </row>
    <row r="570" spans="1:9" ht="15.75">
      <c r="A570" s="27">
        <v>43190244</v>
      </c>
      <c r="B570" s="28" t="s">
        <v>84</v>
      </c>
      <c r="C570" s="29" t="s">
        <v>119</v>
      </c>
      <c r="D570" s="30" t="s">
        <v>17</v>
      </c>
      <c r="E570" s="31" t="str">
        <f>IF(D570="","",VLOOKUP(D570,TemplateCode!$A$2:$C$999,2,FALSE))</f>
        <v>1440</v>
      </c>
      <c r="F570" s="31" t="str">
        <f>IF(D570="","",VLOOKUP(D570,TemplateCode!$A$2:$C$999,3,FALSE))</f>
        <v>Ngày thường</v>
      </c>
      <c r="G570" s="30" t="s">
        <v>31</v>
      </c>
      <c r="H570" s="31" t="str">
        <f>IF(G570="","",VLOOKUP(G570,TemplateCode!$E$2:$G$700,2,FALSE))</f>
        <v>14015595</v>
      </c>
      <c r="I570" s="31" t="str">
        <f>IF(G570="","",VLOOKUP(G570,TemplateCode!$E$2:$G$700,3,FALSE))</f>
        <v>Ca đêm</v>
      </c>
    </row>
    <row r="571" spans="1:9" ht="15.75">
      <c r="A571" s="32">
        <v>43190464</v>
      </c>
      <c r="B571" s="33" t="s">
        <v>85</v>
      </c>
      <c r="C571" s="29" t="s">
        <v>119</v>
      </c>
      <c r="D571" s="30" t="s">
        <v>17</v>
      </c>
      <c r="E571" s="31" t="str">
        <f>IF(D571="","",VLOOKUP(D571,TemplateCode!$A$2:$C$999,2,FALSE))</f>
        <v>1440</v>
      </c>
      <c r="F571" s="31" t="str">
        <f>IF(D571="","",VLOOKUP(D571,TemplateCode!$A$2:$C$999,3,FALSE))</f>
        <v>Ngày thường</v>
      </c>
      <c r="G571" s="30" t="s">
        <v>31</v>
      </c>
      <c r="H571" s="31" t="str">
        <f>IF(G571="","",VLOOKUP(G571,TemplateCode!$E$2:$G$700,2,FALSE))</f>
        <v>14015595</v>
      </c>
      <c r="I571" s="31" t="str">
        <f>IF(G571="","",VLOOKUP(G571,TemplateCode!$E$2:$G$700,3,FALSE))</f>
        <v>Ca đêm</v>
      </c>
    </row>
    <row r="572" spans="1:9" ht="15.75">
      <c r="A572" s="34">
        <v>43180875</v>
      </c>
      <c r="B572" s="34" t="s">
        <v>86</v>
      </c>
      <c r="C572" s="29" t="s">
        <v>119</v>
      </c>
      <c r="D572" s="30" t="s">
        <v>17</v>
      </c>
      <c r="E572" s="31" t="str">
        <f>IF(D572="","",VLOOKUP(D572,TemplateCode!$A$2:$C$999,2,FALSE))</f>
        <v>1440</v>
      </c>
      <c r="F572" s="31" t="str">
        <f>IF(D572="","",VLOOKUP(D572,TemplateCode!$A$2:$C$999,3,FALSE))</f>
        <v>Ngày thường</v>
      </c>
      <c r="G572" s="30" t="s">
        <v>31</v>
      </c>
      <c r="H572" s="31" t="str">
        <f>IF(G572="","",VLOOKUP(G572,TemplateCode!$E$2:$G$700,2,FALSE))</f>
        <v>14015595</v>
      </c>
      <c r="I572" s="31" t="str">
        <f>IF(G572="","",VLOOKUP(G572,TemplateCode!$E$2:$G$700,3,FALSE))</f>
        <v>Ca đêm</v>
      </c>
    </row>
    <row r="573" spans="1:9" ht="15.75">
      <c r="A573" s="34">
        <v>43180879</v>
      </c>
      <c r="B573" s="34" t="s">
        <v>87</v>
      </c>
      <c r="C573" s="29" t="s">
        <v>119</v>
      </c>
      <c r="D573" s="30" t="s">
        <v>17</v>
      </c>
      <c r="E573" s="31" t="str">
        <f>IF(D573="","",VLOOKUP(D573,TemplateCode!$A$2:$C$999,2,FALSE))</f>
        <v>1440</v>
      </c>
      <c r="F573" s="31" t="str">
        <f>IF(D573="","",VLOOKUP(D573,TemplateCode!$A$2:$C$999,3,FALSE))</f>
        <v>Ngày thường</v>
      </c>
      <c r="G573" s="30" t="s">
        <v>31</v>
      </c>
      <c r="H573" s="31" t="str">
        <f>IF(G573="","",VLOOKUP(G573,TemplateCode!$E$2:$G$700,2,FALSE))</f>
        <v>14015595</v>
      </c>
      <c r="I573" s="31" t="str">
        <f>IF(G573="","",VLOOKUP(G573,TemplateCode!$E$2:$G$700,3,FALSE))</f>
        <v>Ca đêm</v>
      </c>
    </row>
    <row r="574" spans="1:9" ht="15.75">
      <c r="A574" s="27">
        <v>43181074</v>
      </c>
      <c r="B574" s="34" t="s">
        <v>88</v>
      </c>
      <c r="C574" s="29" t="s">
        <v>119</v>
      </c>
      <c r="D574" s="30" t="s">
        <v>17</v>
      </c>
      <c r="E574" s="31" t="str">
        <f>IF(D574="","",VLOOKUP(D574,TemplateCode!$A$2:$C$999,2,FALSE))</f>
        <v>1440</v>
      </c>
      <c r="F574" s="31" t="str">
        <f>IF(D574="","",VLOOKUP(D574,TemplateCode!$A$2:$C$999,3,FALSE))</f>
        <v>Ngày thường</v>
      </c>
      <c r="G574" s="30" t="s">
        <v>31</v>
      </c>
      <c r="H574" s="31" t="str">
        <f>IF(G574="","",VLOOKUP(G574,TemplateCode!$E$2:$G$700,2,FALSE))</f>
        <v>14015595</v>
      </c>
      <c r="I574" s="31" t="str">
        <f>IF(G574="","",VLOOKUP(G574,TemplateCode!$E$2:$G$700,3,FALSE))</f>
        <v>Ca đêm</v>
      </c>
    </row>
    <row r="575" spans="1:9" ht="15.75">
      <c r="A575" s="35">
        <v>43180750</v>
      </c>
      <c r="B575" s="28" t="s">
        <v>89</v>
      </c>
      <c r="C575" s="29" t="s">
        <v>119</v>
      </c>
      <c r="D575" s="30" t="s">
        <v>17</v>
      </c>
      <c r="E575" s="31" t="str">
        <f>IF(D575="","",VLOOKUP(D575,TemplateCode!$A$2:$C$999,2,FALSE))</f>
        <v>1440</v>
      </c>
      <c r="F575" s="31" t="str">
        <f>IF(D575="","",VLOOKUP(D575,TemplateCode!$A$2:$C$999,3,FALSE))</f>
        <v>Ngày thường</v>
      </c>
      <c r="G575" s="30" t="s">
        <v>31</v>
      </c>
      <c r="H575" s="31" t="str">
        <f>IF(G575="","",VLOOKUP(G575,TemplateCode!$E$2:$G$700,2,FALSE))</f>
        <v>14015595</v>
      </c>
      <c r="I575" s="31" t="str">
        <f>IF(G575="","",VLOOKUP(G575,TemplateCode!$E$2:$G$700,3,FALSE))</f>
        <v>Ca đêm</v>
      </c>
    </row>
    <row r="576" spans="1:9" ht="15.75">
      <c r="A576" s="35">
        <v>43181362</v>
      </c>
      <c r="B576" s="28" t="s">
        <v>90</v>
      </c>
      <c r="C576" s="29" t="s">
        <v>119</v>
      </c>
      <c r="D576" s="30" t="s">
        <v>17</v>
      </c>
      <c r="E576" s="31" t="str">
        <f>IF(D576="","",VLOOKUP(D576,TemplateCode!$A$2:$C$999,2,FALSE))</f>
        <v>1440</v>
      </c>
      <c r="F576" s="31" t="str">
        <f>IF(D576="","",VLOOKUP(D576,TemplateCode!$A$2:$C$999,3,FALSE))</f>
        <v>Ngày thường</v>
      </c>
      <c r="G576" s="30" t="s">
        <v>31</v>
      </c>
      <c r="H576" s="31" t="str">
        <f>IF(G576="","",VLOOKUP(G576,TemplateCode!$E$2:$G$700,2,FALSE))</f>
        <v>14015595</v>
      </c>
      <c r="I576" s="31" t="str">
        <f>IF(G576="","",VLOOKUP(G576,TemplateCode!$E$2:$G$700,3,FALSE))</f>
        <v>Ca đêm</v>
      </c>
    </row>
    <row r="577" spans="1:9" ht="15.75">
      <c r="A577" s="35">
        <v>43181479</v>
      </c>
      <c r="B577" s="28" t="s">
        <v>91</v>
      </c>
      <c r="C577" s="29" t="s">
        <v>119</v>
      </c>
      <c r="D577" s="30" t="s">
        <v>17</v>
      </c>
      <c r="E577" s="31" t="str">
        <f>IF(D577="","",VLOOKUP(D577,TemplateCode!$A$2:$C$999,2,FALSE))</f>
        <v>1440</v>
      </c>
      <c r="F577" s="31" t="str">
        <f>IF(D577="","",VLOOKUP(D577,TemplateCode!$A$2:$C$999,3,FALSE))</f>
        <v>Ngày thường</v>
      </c>
      <c r="G577" s="30" t="s">
        <v>31</v>
      </c>
      <c r="H577" s="31" t="str">
        <f>IF(G577="","",VLOOKUP(G577,TemplateCode!$E$2:$G$700,2,FALSE))</f>
        <v>14015595</v>
      </c>
      <c r="I577" s="31" t="str">
        <f>IF(G577="","",VLOOKUP(G577,TemplateCode!$E$2:$G$700,3,FALSE))</f>
        <v>Ca đêm</v>
      </c>
    </row>
    <row r="578" spans="1:9" ht="15.75">
      <c r="A578" s="35">
        <v>43190068</v>
      </c>
      <c r="B578" s="28" t="s">
        <v>92</v>
      </c>
      <c r="C578" s="29" t="s">
        <v>119</v>
      </c>
      <c r="D578" s="30" t="s">
        <v>17</v>
      </c>
      <c r="E578" s="31" t="str">
        <f>IF(D578="","",VLOOKUP(D578,TemplateCode!$A$2:$C$999,2,FALSE))</f>
        <v>1440</v>
      </c>
      <c r="F578" s="31" t="str">
        <f>IF(D578="","",VLOOKUP(D578,TemplateCode!$A$2:$C$999,3,FALSE))</f>
        <v>Ngày thường</v>
      </c>
      <c r="G578" s="30" t="s">
        <v>31</v>
      </c>
      <c r="H578" s="31" t="str">
        <f>IF(G578="","",VLOOKUP(G578,TemplateCode!$E$2:$G$700,2,FALSE))</f>
        <v>14015595</v>
      </c>
      <c r="I578" s="31" t="str">
        <f>IF(G578="","",VLOOKUP(G578,TemplateCode!$E$2:$G$700,3,FALSE))</f>
        <v>Ca đêm</v>
      </c>
    </row>
    <row r="579" spans="1:9" ht="15.75">
      <c r="A579" s="35">
        <v>43190084</v>
      </c>
      <c r="B579" s="28" t="s">
        <v>93</v>
      </c>
      <c r="C579" s="29" t="s">
        <v>119</v>
      </c>
      <c r="D579" s="30" t="s">
        <v>17</v>
      </c>
      <c r="E579" s="31" t="str">
        <f>IF(D579="","",VLOOKUP(D579,TemplateCode!$A$2:$C$999,2,FALSE))</f>
        <v>1440</v>
      </c>
      <c r="F579" s="31" t="str">
        <f>IF(D579="","",VLOOKUP(D579,TemplateCode!$A$2:$C$999,3,FALSE))</f>
        <v>Ngày thường</v>
      </c>
      <c r="G579" s="30" t="s">
        <v>31</v>
      </c>
      <c r="H579" s="31" t="str">
        <f>IF(G579="","",VLOOKUP(G579,TemplateCode!$E$2:$G$700,2,FALSE))</f>
        <v>14015595</v>
      </c>
      <c r="I579" s="31" t="str">
        <f>IF(G579="","",VLOOKUP(G579,TemplateCode!$E$2:$G$700,3,FALSE))</f>
        <v>Ca đêm</v>
      </c>
    </row>
    <row r="580" spans="1:9" ht="15.75">
      <c r="A580" s="27">
        <v>43190108</v>
      </c>
      <c r="B580" s="28" t="s">
        <v>94</v>
      </c>
      <c r="C580" s="29" t="s">
        <v>119</v>
      </c>
      <c r="D580" s="30" t="s">
        <v>17</v>
      </c>
      <c r="E580" s="31" t="str">
        <f>IF(D580="","",VLOOKUP(D580,TemplateCode!$A$2:$C$999,2,FALSE))</f>
        <v>1440</v>
      </c>
      <c r="F580" s="31" t="str">
        <f>IF(D580="","",VLOOKUP(D580,TemplateCode!$A$2:$C$999,3,FALSE))</f>
        <v>Ngày thường</v>
      </c>
      <c r="G580" s="30" t="s">
        <v>31</v>
      </c>
      <c r="H580" s="31" t="str">
        <f>IF(G580="","",VLOOKUP(G580,TemplateCode!$E$2:$G$700,2,FALSE))</f>
        <v>14015595</v>
      </c>
      <c r="I580" s="31" t="str">
        <f>IF(G580="","",VLOOKUP(G580,TemplateCode!$E$2:$G$700,3,FALSE))</f>
        <v>Ca đêm</v>
      </c>
    </row>
    <row r="581" spans="1:9" ht="15.75">
      <c r="A581" s="34">
        <v>43190107</v>
      </c>
      <c r="B581" s="34" t="s">
        <v>95</v>
      </c>
      <c r="C581" s="29" t="s">
        <v>119</v>
      </c>
      <c r="D581" s="30" t="s">
        <v>17</v>
      </c>
      <c r="E581" s="31" t="str">
        <f>IF(D581="","",VLOOKUP(D581,TemplateCode!$A$2:$C$999,2,FALSE))</f>
        <v>1440</v>
      </c>
      <c r="F581" s="31" t="str">
        <f>IF(D581="","",VLOOKUP(D581,TemplateCode!$A$2:$C$999,3,FALSE))</f>
        <v>Ngày thường</v>
      </c>
      <c r="G581" s="30" t="s">
        <v>31</v>
      </c>
      <c r="H581" s="31" t="str">
        <f>IF(G581="","",VLOOKUP(G581,TemplateCode!$E$2:$G$700,2,FALSE))</f>
        <v>14015595</v>
      </c>
      <c r="I581" s="31" t="str">
        <f>IF(G581="","",VLOOKUP(G581,TemplateCode!$E$2:$G$700,3,FALSE))</f>
        <v>Ca đêm</v>
      </c>
    </row>
    <row r="582" spans="1:9" ht="15.75">
      <c r="A582" s="27">
        <v>43190129</v>
      </c>
      <c r="B582" s="28" t="s">
        <v>96</v>
      </c>
      <c r="C582" s="29" t="s">
        <v>119</v>
      </c>
      <c r="D582" s="30" t="s">
        <v>17</v>
      </c>
      <c r="E582" s="31" t="str">
        <f>IF(D582="","",VLOOKUP(D582,TemplateCode!$A$2:$C$999,2,FALSE))</f>
        <v>1440</v>
      </c>
      <c r="F582" s="31" t="str">
        <f>IF(D582="","",VLOOKUP(D582,TemplateCode!$A$2:$C$999,3,FALSE))</f>
        <v>Ngày thường</v>
      </c>
      <c r="G582" s="30" t="s">
        <v>31</v>
      </c>
      <c r="H582" s="31" t="str">
        <f>IF(G582="","",VLOOKUP(G582,TemplateCode!$E$2:$G$700,2,FALSE))</f>
        <v>14015595</v>
      </c>
      <c r="I582" s="31" t="str">
        <f>IF(G582="","",VLOOKUP(G582,TemplateCode!$E$2:$G$700,3,FALSE))</f>
        <v>Ca đêm</v>
      </c>
    </row>
    <row r="583" spans="1:9" ht="15.75">
      <c r="A583" s="34">
        <v>43190248</v>
      </c>
      <c r="B583" s="34" t="s">
        <v>97</v>
      </c>
      <c r="C583" s="29" t="s">
        <v>119</v>
      </c>
      <c r="D583" s="30" t="s">
        <v>17</v>
      </c>
      <c r="E583" s="31" t="str">
        <f>IF(D583="","",VLOOKUP(D583,TemplateCode!$A$2:$C$999,2,FALSE))</f>
        <v>1440</v>
      </c>
      <c r="F583" s="31" t="str">
        <f>IF(D583="","",VLOOKUP(D583,TemplateCode!$A$2:$C$999,3,FALSE))</f>
        <v>Ngày thường</v>
      </c>
      <c r="G583" s="30" t="s">
        <v>31</v>
      </c>
      <c r="H583" s="31" t="str">
        <f>IF(G583="","",VLOOKUP(G583,TemplateCode!$E$2:$G$700,2,FALSE))</f>
        <v>14015595</v>
      </c>
      <c r="I583" s="31" t="str">
        <f>IF(G583="","",VLOOKUP(G583,TemplateCode!$E$2:$G$700,3,FALSE))</f>
        <v>Ca đêm</v>
      </c>
    </row>
    <row r="584" spans="1:9" ht="15.75">
      <c r="A584" s="34">
        <v>43190251</v>
      </c>
      <c r="B584" s="34" t="s">
        <v>98</v>
      </c>
      <c r="C584" s="29" t="s">
        <v>119</v>
      </c>
      <c r="D584" s="30" t="s">
        <v>17</v>
      </c>
      <c r="E584" s="31" t="str">
        <f>IF(D584="","",VLOOKUP(D584,TemplateCode!$A$2:$C$999,2,FALSE))</f>
        <v>1440</v>
      </c>
      <c r="F584" s="31" t="str">
        <f>IF(D584="","",VLOOKUP(D584,TemplateCode!$A$2:$C$999,3,FALSE))</f>
        <v>Ngày thường</v>
      </c>
      <c r="G584" s="30" t="s">
        <v>31</v>
      </c>
      <c r="H584" s="31" t="str">
        <f>IF(G584="","",VLOOKUP(G584,TemplateCode!$E$2:$G$700,2,FALSE))</f>
        <v>14015595</v>
      </c>
      <c r="I584" s="31" t="str">
        <f>IF(G584="","",VLOOKUP(G584,TemplateCode!$E$2:$G$700,3,FALSE))</f>
        <v>Ca đêm</v>
      </c>
    </row>
    <row r="585" spans="1:9" ht="15.75">
      <c r="A585" s="34">
        <v>43190278</v>
      </c>
      <c r="B585" s="34" t="s">
        <v>99</v>
      </c>
      <c r="C585" s="29" t="s">
        <v>119</v>
      </c>
      <c r="D585" s="30" t="s">
        <v>17</v>
      </c>
      <c r="E585" s="31" t="str">
        <f>IF(D585="","",VLOOKUP(D585,TemplateCode!$A$2:$C$999,2,FALSE))</f>
        <v>1440</v>
      </c>
      <c r="F585" s="31" t="str">
        <f>IF(D585="","",VLOOKUP(D585,TemplateCode!$A$2:$C$999,3,FALSE))</f>
        <v>Ngày thường</v>
      </c>
      <c r="G585" s="30" t="s">
        <v>31</v>
      </c>
      <c r="H585" s="31" t="str">
        <f>IF(G585="","",VLOOKUP(G585,TemplateCode!$E$2:$G$700,2,FALSE))</f>
        <v>14015595</v>
      </c>
      <c r="I585" s="31" t="str">
        <f>IF(G585="","",VLOOKUP(G585,TemplateCode!$E$2:$G$700,3,FALSE))</f>
        <v>Ca đêm</v>
      </c>
    </row>
    <row r="586" spans="1:9" ht="15.75">
      <c r="A586" s="36">
        <v>43190385</v>
      </c>
      <c r="B586" s="33" t="s">
        <v>100</v>
      </c>
      <c r="C586" s="29" t="s">
        <v>119</v>
      </c>
      <c r="D586" s="30" t="s">
        <v>17</v>
      </c>
      <c r="E586" s="31" t="str">
        <f>IF(D586="","",VLOOKUP(D586,TemplateCode!$A$2:$C$999,2,FALSE))</f>
        <v>1440</v>
      </c>
      <c r="F586" s="31" t="str">
        <f>IF(D586="","",VLOOKUP(D586,TemplateCode!$A$2:$C$999,3,FALSE))</f>
        <v>Ngày thường</v>
      </c>
      <c r="G586" s="30" t="s">
        <v>31</v>
      </c>
      <c r="H586" s="31" t="str">
        <f>IF(G586="","",VLOOKUP(G586,TemplateCode!$E$2:$G$700,2,FALSE))</f>
        <v>14015595</v>
      </c>
      <c r="I586" s="31" t="str">
        <f>IF(G586="","",VLOOKUP(G586,TemplateCode!$E$2:$G$700,3,FALSE))</f>
        <v>Ca đêm</v>
      </c>
    </row>
    <row r="587" spans="1:9" ht="15.75">
      <c r="A587" s="36">
        <v>43190389</v>
      </c>
      <c r="B587" s="33" t="s">
        <v>101</v>
      </c>
      <c r="C587" s="29" t="s">
        <v>119</v>
      </c>
      <c r="D587" s="30" t="s">
        <v>17</v>
      </c>
      <c r="E587" s="31" t="str">
        <f>IF(D587="","",VLOOKUP(D587,TemplateCode!$A$2:$C$999,2,FALSE))</f>
        <v>1440</v>
      </c>
      <c r="F587" s="31" t="str">
        <f>IF(D587="","",VLOOKUP(D587,TemplateCode!$A$2:$C$999,3,FALSE))</f>
        <v>Ngày thường</v>
      </c>
      <c r="G587" s="30" t="s">
        <v>31</v>
      </c>
      <c r="H587" s="31" t="str">
        <f>IF(G587="","",VLOOKUP(G587,TemplateCode!$E$2:$G$700,2,FALSE))</f>
        <v>14015595</v>
      </c>
      <c r="I587" s="31" t="str">
        <f>IF(G587="","",VLOOKUP(G587,TemplateCode!$E$2:$G$700,3,FALSE))</f>
        <v>Ca đêm</v>
      </c>
    </row>
    <row r="588" spans="1:9" ht="15.75">
      <c r="A588" s="35">
        <v>43181469</v>
      </c>
      <c r="B588" s="28" t="s">
        <v>102</v>
      </c>
      <c r="C588" s="29" t="s">
        <v>119</v>
      </c>
      <c r="D588" s="30" t="s">
        <v>17</v>
      </c>
      <c r="E588" s="31" t="str">
        <f>IF(D588="","",VLOOKUP(D588,TemplateCode!$A$2:$C$999,2,FALSE))</f>
        <v>1440</v>
      </c>
      <c r="F588" s="31" t="str">
        <f>IF(D588="","",VLOOKUP(D588,TemplateCode!$A$2:$C$999,3,FALSE))</f>
        <v>Ngày thường</v>
      </c>
      <c r="G588" s="30" t="s">
        <v>31</v>
      </c>
      <c r="H588" s="31" t="str">
        <f>IF(G588="","",VLOOKUP(G588,TemplateCode!$E$2:$G$700,2,FALSE))</f>
        <v>14015595</v>
      </c>
      <c r="I588" s="31" t="str">
        <f>IF(G588="","",VLOOKUP(G588,TemplateCode!$E$2:$G$700,3,FALSE))</f>
        <v>Ca đêm</v>
      </c>
    </row>
    <row r="589" spans="1:9" ht="15.75">
      <c r="A589" s="36">
        <v>43190403</v>
      </c>
      <c r="B589" s="33" t="s">
        <v>103</v>
      </c>
      <c r="C589" s="29" t="s">
        <v>119</v>
      </c>
      <c r="D589" s="30" t="s">
        <v>17</v>
      </c>
      <c r="E589" s="31" t="str">
        <f>IF(D589="","",VLOOKUP(D589,TemplateCode!$A$2:$C$999,2,FALSE))</f>
        <v>1440</v>
      </c>
      <c r="F589" s="31" t="str">
        <f>IF(D589="","",VLOOKUP(D589,TemplateCode!$A$2:$C$999,3,FALSE))</f>
        <v>Ngày thường</v>
      </c>
      <c r="G589" s="30" t="s">
        <v>31</v>
      </c>
      <c r="H589" s="31" t="str">
        <f>IF(G589="","",VLOOKUP(G589,TemplateCode!$E$2:$G$700,2,FALSE))</f>
        <v>14015595</v>
      </c>
      <c r="I589" s="31" t="str">
        <f>IF(G589="","",VLOOKUP(G589,TemplateCode!$E$2:$G$700,3,FALSE))</f>
        <v>Ca đêm</v>
      </c>
    </row>
    <row r="590" spans="1:9" ht="15.75">
      <c r="A590" s="34">
        <v>43190018</v>
      </c>
      <c r="B590" s="34" t="s">
        <v>104</v>
      </c>
      <c r="C590" s="29" t="s">
        <v>119</v>
      </c>
      <c r="D590" s="30" t="s">
        <v>17</v>
      </c>
      <c r="E590" s="31" t="str">
        <f>IF(D590="","",VLOOKUP(D590,TemplateCode!$A$2:$C$999,2,FALSE))</f>
        <v>1440</v>
      </c>
      <c r="F590" s="31" t="str">
        <f>IF(D590="","",VLOOKUP(D590,TemplateCode!$A$2:$C$999,3,FALSE))</f>
        <v>Ngày thường</v>
      </c>
      <c r="G590" s="30" t="s">
        <v>31</v>
      </c>
      <c r="H590" s="31" t="str">
        <f>IF(G590="","",VLOOKUP(G590,TemplateCode!$E$2:$G$700,2,FALSE))</f>
        <v>14015595</v>
      </c>
      <c r="I590" s="31" t="str">
        <f>IF(G590="","",VLOOKUP(G590,TemplateCode!$E$2:$G$700,3,FALSE))</f>
        <v>Ca đêm</v>
      </c>
    </row>
    <row r="591" spans="1:9" ht="15.75">
      <c r="A591" s="36">
        <v>43190460</v>
      </c>
      <c r="B591" s="33" t="s">
        <v>105</v>
      </c>
      <c r="C591" s="29" t="s">
        <v>119</v>
      </c>
      <c r="D591" s="30" t="s">
        <v>17</v>
      </c>
      <c r="E591" s="31" t="str">
        <f>IF(D591="","",VLOOKUP(D591,TemplateCode!$A$2:$C$999,2,FALSE))</f>
        <v>1440</v>
      </c>
      <c r="F591" s="31" t="str">
        <f>IF(D591="","",VLOOKUP(D591,TemplateCode!$A$2:$C$999,3,FALSE))</f>
        <v>Ngày thường</v>
      </c>
      <c r="G591" s="30" t="s">
        <v>31</v>
      </c>
      <c r="H591" s="31" t="str">
        <f>IF(G591="","",VLOOKUP(G591,TemplateCode!$E$2:$G$700,2,FALSE))</f>
        <v>14015595</v>
      </c>
      <c r="I591" s="31" t="str">
        <f>IF(G591="","",VLOOKUP(G591,TemplateCode!$E$2:$G$700,3,FALSE))</f>
        <v>Ca đêm</v>
      </c>
    </row>
    <row r="592" spans="1:9" ht="15.75">
      <c r="A592" s="27">
        <v>43181073</v>
      </c>
      <c r="B592" s="34" t="s">
        <v>106</v>
      </c>
      <c r="C592" s="29" t="s">
        <v>119</v>
      </c>
      <c r="D592" s="30" t="s">
        <v>17</v>
      </c>
      <c r="E592" s="31" t="str">
        <f>IF(D592="","",VLOOKUP(D592,TemplateCode!$A$2:$C$999,2,FALSE))</f>
        <v>1440</v>
      </c>
      <c r="F592" s="31" t="str">
        <f>IF(D592="","",VLOOKUP(D592,TemplateCode!$A$2:$C$999,3,FALSE))</f>
        <v>Ngày thường</v>
      </c>
      <c r="G592" s="30" t="s">
        <v>31</v>
      </c>
      <c r="H592" s="31" t="str">
        <f>IF(G592="","",VLOOKUP(G592,TemplateCode!$E$2:$G$700,2,FALSE))</f>
        <v>14015595</v>
      </c>
      <c r="I592" s="31" t="str">
        <f>IF(G592="","",VLOOKUP(G592,TemplateCode!$E$2:$G$700,3,FALSE))</f>
        <v>Ca đêm</v>
      </c>
    </row>
    <row r="593" spans="1:9" ht="15.75">
      <c r="A593" s="34">
        <v>43190445</v>
      </c>
      <c r="B593" s="34" t="s">
        <v>107</v>
      </c>
      <c r="C593" s="29" t="s">
        <v>119</v>
      </c>
      <c r="D593" s="30" t="s">
        <v>17</v>
      </c>
      <c r="E593" s="31" t="str">
        <f>IF(D593="","",VLOOKUP(D593,TemplateCode!$A$2:$C$999,2,FALSE))</f>
        <v>1440</v>
      </c>
      <c r="F593" s="31" t="str">
        <f>IF(D593="","",VLOOKUP(D593,TemplateCode!$A$2:$C$999,3,FALSE))</f>
        <v>Ngày thường</v>
      </c>
      <c r="G593" s="30" t="s">
        <v>31</v>
      </c>
      <c r="H593" s="31" t="str">
        <f>IF(G593="","",VLOOKUP(G593,TemplateCode!$E$2:$G$700,2,FALSE))</f>
        <v>14015595</v>
      </c>
      <c r="I593" s="31" t="str">
        <f>IF(G593="","",VLOOKUP(G593,TemplateCode!$E$2:$G$700,3,FALSE))</f>
        <v>Ca đêm</v>
      </c>
    </row>
    <row r="594" spans="1:9" ht="15.75">
      <c r="A594" s="34">
        <v>43190243</v>
      </c>
      <c r="B594" s="34" t="s">
        <v>108</v>
      </c>
      <c r="C594" s="29" t="s">
        <v>119</v>
      </c>
      <c r="D594" s="30" t="s">
        <v>17</v>
      </c>
      <c r="E594" s="31" t="str">
        <f>IF(D594="","",VLOOKUP(D594,TemplateCode!$A$2:$C$999,2,FALSE))</f>
        <v>1440</v>
      </c>
      <c r="F594" s="31" t="str">
        <f>IF(D594="","",VLOOKUP(D594,TemplateCode!$A$2:$C$999,3,FALSE))</f>
        <v>Ngày thường</v>
      </c>
      <c r="G594" s="30" t="s">
        <v>31</v>
      </c>
      <c r="H594" s="31" t="str">
        <f>IF(G594="","",VLOOKUP(G594,TemplateCode!$E$2:$G$700,2,FALSE))</f>
        <v>14015595</v>
      </c>
      <c r="I594" s="31" t="str">
        <f>IF(G594="","",VLOOKUP(G594,TemplateCode!$E$2:$G$700,3,FALSE))</f>
        <v>Ca đêm</v>
      </c>
    </row>
    <row r="595" spans="1:9" ht="15.75">
      <c r="A595" s="37">
        <v>43190805</v>
      </c>
      <c r="B595" s="37" t="s">
        <v>109</v>
      </c>
      <c r="C595" s="29" t="s">
        <v>119</v>
      </c>
      <c r="D595" s="30" t="s">
        <v>17</v>
      </c>
      <c r="E595" s="31" t="str">
        <f>IF(D595="","",VLOOKUP(D595,TemplateCode!$A$2:$C$999,2,FALSE))</f>
        <v>1440</v>
      </c>
      <c r="F595" s="31" t="str">
        <f>IF(D595="","",VLOOKUP(D595,TemplateCode!$A$2:$C$999,3,FALSE))</f>
        <v>Ngày thường</v>
      </c>
      <c r="G595" s="30" t="s">
        <v>31</v>
      </c>
      <c r="H595" s="31" t="str">
        <f>IF(G595="","",VLOOKUP(G595,TemplateCode!$E$2:$G$700,2,FALSE))</f>
        <v>14015595</v>
      </c>
      <c r="I595" s="31" t="str">
        <f>IF(G595="","",VLOOKUP(G595,TemplateCode!$E$2:$G$700,3,FALSE))</f>
        <v>Ca đêm</v>
      </c>
    </row>
    <row r="596" spans="1:9" ht="15.75">
      <c r="A596" s="14">
        <v>43181429</v>
      </c>
      <c r="B596" s="14" t="s">
        <v>55</v>
      </c>
      <c r="C596" s="12" t="s">
        <v>120</v>
      </c>
      <c r="D596" s="11" t="s">
        <v>17</v>
      </c>
      <c r="E596" s="10" t="str">
        <f>IF(D596="","",VLOOKUP(D596,TemplateCode!$A$2:$C$999,2,FALSE))</f>
        <v>1440</v>
      </c>
      <c r="F596" s="10" t="str">
        <f>IF(D596="","",VLOOKUP(D596,TemplateCode!$A$2:$C$999,3,FALSE))</f>
        <v>Ngày thường</v>
      </c>
      <c r="G596" s="11" t="s">
        <v>52</v>
      </c>
      <c r="H596" s="10" t="str">
        <f>IF(G596="","",VLOOKUP(G596,TemplateCode!$E$2:$G$700,2,FALSE))</f>
        <v>90000456</v>
      </c>
      <c r="I596" s="10" t="str">
        <f>IF(G596="","",VLOOKUP(G596,TemplateCode!$E$2:$G$700,3,FALSE))</f>
        <v>Ca ngày</v>
      </c>
    </row>
    <row r="597" spans="1:9" ht="15.75">
      <c r="A597" s="15">
        <v>43181308</v>
      </c>
      <c r="B597" s="15" t="s">
        <v>56</v>
      </c>
      <c r="C597" s="12" t="s">
        <v>120</v>
      </c>
      <c r="D597" s="11" t="s">
        <v>17</v>
      </c>
      <c r="E597" s="10" t="str">
        <f>IF(D597="","",VLOOKUP(D597,TemplateCode!$A$2:$C$999,2,FALSE))</f>
        <v>1440</v>
      </c>
      <c r="F597" s="10" t="str">
        <f>IF(D597="","",VLOOKUP(D597,TemplateCode!$A$2:$C$999,3,FALSE))</f>
        <v>Ngày thường</v>
      </c>
      <c r="G597" s="11" t="s">
        <v>52</v>
      </c>
      <c r="H597" s="10" t="str">
        <f>IF(G597="","",VLOOKUP(G597,TemplateCode!$E$2:$G$700,2,FALSE))</f>
        <v>90000456</v>
      </c>
      <c r="I597" s="10" t="str">
        <f>IF(G597="","",VLOOKUP(G597,TemplateCode!$E$2:$G$700,3,FALSE))</f>
        <v>Ca ngày</v>
      </c>
    </row>
    <row r="598" spans="1:9" ht="15.75">
      <c r="A598" s="16">
        <v>43181355</v>
      </c>
      <c r="B598" s="17" t="s">
        <v>57</v>
      </c>
      <c r="C598" s="12" t="s">
        <v>120</v>
      </c>
      <c r="D598" s="11" t="s">
        <v>17</v>
      </c>
      <c r="E598" s="10" t="str">
        <f>IF(D598="","",VLOOKUP(D598,TemplateCode!$A$2:$C$999,2,FALSE))</f>
        <v>1440</v>
      </c>
      <c r="F598" s="10" t="str">
        <f>IF(D598="","",VLOOKUP(D598,TemplateCode!$A$2:$C$999,3,FALSE))</f>
        <v>Ngày thường</v>
      </c>
      <c r="G598" s="11" t="s">
        <v>52</v>
      </c>
      <c r="H598" s="10" t="str">
        <f>IF(G598="","",VLOOKUP(G598,TemplateCode!$E$2:$G$700,2,FALSE))</f>
        <v>90000456</v>
      </c>
      <c r="I598" s="10" t="str">
        <f>IF(G598="","",VLOOKUP(G598,TemplateCode!$E$2:$G$700,3,FALSE))</f>
        <v>Ca ngày</v>
      </c>
    </row>
    <row r="599" spans="1:9" ht="15.75">
      <c r="A599" s="15">
        <v>43181462</v>
      </c>
      <c r="B599" s="17" t="s">
        <v>58</v>
      </c>
      <c r="C599" s="12" t="s">
        <v>120</v>
      </c>
      <c r="D599" s="11" t="s">
        <v>17</v>
      </c>
      <c r="E599" s="10" t="str">
        <f>IF(D599="","",VLOOKUP(D599,TemplateCode!$A$2:$C$999,2,FALSE))</f>
        <v>1440</v>
      </c>
      <c r="F599" s="10" t="str">
        <f>IF(D599="","",VLOOKUP(D599,TemplateCode!$A$2:$C$999,3,FALSE))</f>
        <v>Ngày thường</v>
      </c>
      <c r="G599" s="11" t="s">
        <v>52</v>
      </c>
      <c r="H599" s="10" t="str">
        <f>IF(G599="","",VLOOKUP(G599,TemplateCode!$E$2:$G$700,2,FALSE))</f>
        <v>90000456</v>
      </c>
      <c r="I599" s="10" t="str">
        <f>IF(G599="","",VLOOKUP(G599,TemplateCode!$E$2:$G$700,3,FALSE))</f>
        <v>Ca ngày</v>
      </c>
    </row>
    <row r="600" spans="1:9" ht="15.75">
      <c r="A600" s="18">
        <v>43181463</v>
      </c>
      <c r="B600" s="17" t="s">
        <v>59</v>
      </c>
      <c r="C600" s="12" t="s">
        <v>120</v>
      </c>
      <c r="D600" s="11" t="s">
        <v>17</v>
      </c>
      <c r="E600" s="10" t="str">
        <f>IF(D600="","",VLOOKUP(D600,TemplateCode!$A$2:$C$999,2,FALSE))</f>
        <v>1440</v>
      </c>
      <c r="F600" s="10" t="str">
        <f>IF(D600="","",VLOOKUP(D600,TemplateCode!$A$2:$C$999,3,FALSE))</f>
        <v>Ngày thường</v>
      </c>
      <c r="G600" s="11" t="s">
        <v>52</v>
      </c>
      <c r="H600" s="10" t="str">
        <f>IF(G600="","",VLOOKUP(G600,TemplateCode!$E$2:$G$700,2,FALSE))</f>
        <v>90000456</v>
      </c>
      <c r="I600" s="10" t="str">
        <f>IF(G600="","",VLOOKUP(G600,TemplateCode!$E$2:$G$700,3,FALSE))</f>
        <v>Ca ngày</v>
      </c>
    </row>
    <row r="601" spans="1:9" ht="15.75">
      <c r="A601" s="15">
        <v>43181487</v>
      </c>
      <c r="B601" s="15" t="s">
        <v>60</v>
      </c>
      <c r="C601" s="12" t="s">
        <v>120</v>
      </c>
      <c r="D601" s="11" t="s">
        <v>17</v>
      </c>
      <c r="E601" s="10" t="str">
        <f>IF(D601="","",VLOOKUP(D601,TemplateCode!$A$2:$C$999,2,FALSE))</f>
        <v>1440</v>
      </c>
      <c r="F601" s="10" t="str">
        <f>IF(D601="","",VLOOKUP(D601,TemplateCode!$A$2:$C$999,3,FALSE))</f>
        <v>Ngày thường</v>
      </c>
      <c r="G601" s="11" t="s">
        <v>52</v>
      </c>
      <c r="H601" s="10" t="str">
        <f>IF(G601="","",VLOOKUP(G601,TemplateCode!$E$2:$G$700,2,FALSE))</f>
        <v>90000456</v>
      </c>
      <c r="I601" s="10" t="str">
        <f>IF(G601="","",VLOOKUP(G601,TemplateCode!$E$2:$G$700,3,FALSE))</f>
        <v>Ca ngày</v>
      </c>
    </row>
    <row r="602" spans="1:9" ht="15.75">
      <c r="A602" s="15">
        <v>43181490</v>
      </c>
      <c r="B602" s="15" t="s">
        <v>61</v>
      </c>
      <c r="C602" s="12" t="s">
        <v>120</v>
      </c>
      <c r="D602" s="11" t="s">
        <v>17</v>
      </c>
      <c r="E602" s="10" t="str">
        <f>IF(D602="","",VLOOKUP(D602,TemplateCode!$A$2:$C$999,2,FALSE))</f>
        <v>1440</v>
      </c>
      <c r="F602" s="10" t="str">
        <f>IF(D602="","",VLOOKUP(D602,TemplateCode!$A$2:$C$999,3,FALSE))</f>
        <v>Ngày thường</v>
      </c>
      <c r="G602" s="11" t="s">
        <v>52</v>
      </c>
      <c r="H602" s="10" t="str">
        <f>IF(G602="","",VLOOKUP(G602,TemplateCode!$E$2:$G$700,2,FALSE))</f>
        <v>90000456</v>
      </c>
      <c r="I602" s="10" t="str">
        <f>IF(G602="","",VLOOKUP(G602,TemplateCode!$E$2:$G$700,3,FALSE))</f>
        <v>Ca ngày</v>
      </c>
    </row>
    <row r="603" spans="1:9" ht="15.75">
      <c r="A603" s="15">
        <v>43190015</v>
      </c>
      <c r="B603" s="15" t="s">
        <v>62</v>
      </c>
      <c r="C603" s="12" t="s">
        <v>120</v>
      </c>
      <c r="D603" s="11" t="s">
        <v>17</v>
      </c>
      <c r="E603" s="10" t="str">
        <f>IF(D603="","",VLOOKUP(D603,TemplateCode!$A$2:$C$999,2,FALSE))</f>
        <v>1440</v>
      </c>
      <c r="F603" s="10" t="str">
        <f>IF(D603="","",VLOOKUP(D603,TemplateCode!$A$2:$C$999,3,FALSE))</f>
        <v>Ngày thường</v>
      </c>
      <c r="G603" s="11" t="s">
        <v>52</v>
      </c>
      <c r="H603" s="10" t="str">
        <f>IF(G603="","",VLOOKUP(G603,TemplateCode!$E$2:$G$700,2,FALSE))</f>
        <v>90000456</v>
      </c>
      <c r="I603" s="10" t="str">
        <f>IF(G603="","",VLOOKUP(G603,TemplateCode!$E$2:$G$700,3,FALSE))</f>
        <v>Ca ngày</v>
      </c>
    </row>
    <row r="604" spans="1:9" ht="15.75">
      <c r="A604" s="15">
        <v>43190023</v>
      </c>
      <c r="B604" s="15" t="s">
        <v>63</v>
      </c>
      <c r="C604" s="12" t="s">
        <v>120</v>
      </c>
      <c r="D604" s="11" t="s">
        <v>17</v>
      </c>
      <c r="E604" s="10" t="str">
        <f>IF(D604="","",VLOOKUP(D604,TemplateCode!$A$2:$C$999,2,FALSE))</f>
        <v>1440</v>
      </c>
      <c r="F604" s="10" t="str">
        <f>IF(D604="","",VLOOKUP(D604,TemplateCode!$A$2:$C$999,3,FALSE))</f>
        <v>Ngày thường</v>
      </c>
      <c r="G604" s="11" t="s">
        <v>52</v>
      </c>
      <c r="H604" s="10" t="str">
        <f>IF(G604="","",VLOOKUP(G604,TemplateCode!$E$2:$G$700,2,FALSE))</f>
        <v>90000456</v>
      </c>
      <c r="I604" s="10" t="str">
        <f>IF(G604="","",VLOOKUP(G604,TemplateCode!$E$2:$G$700,3,FALSE))</f>
        <v>Ca ngày</v>
      </c>
    </row>
    <row r="605" spans="1:9" ht="15.75">
      <c r="A605" s="15">
        <v>43190030</v>
      </c>
      <c r="B605" s="15" t="s">
        <v>64</v>
      </c>
      <c r="C605" s="12" t="s">
        <v>120</v>
      </c>
      <c r="D605" s="11" t="s">
        <v>17</v>
      </c>
      <c r="E605" s="10" t="str">
        <f>IF(D605="","",VLOOKUP(D605,TemplateCode!$A$2:$C$999,2,FALSE))</f>
        <v>1440</v>
      </c>
      <c r="F605" s="10" t="str">
        <f>IF(D605="","",VLOOKUP(D605,TemplateCode!$A$2:$C$999,3,FALSE))</f>
        <v>Ngày thường</v>
      </c>
      <c r="G605" s="11" t="s">
        <v>52</v>
      </c>
      <c r="H605" s="10" t="str">
        <f>IF(G605="","",VLOOKUP(G605,TemplateCode!$E$2:$G$700,2,FALSE))</f>
        <v>90000456</v>
      </c>
      <c r="I605" s="10" t="str">
        <f>IF(G605="","",VLOOKUP(G605,TemplateCode!$E$2:$G$700,3,FALSE))</f>
        <v>Ca ngày</v>
      </c>
    </row>
    <row r="606" spans="1:9" ht="15.75">
      <c r="A606" s="15">
        <v>43190041</v>
      </c>
      <c r="B606" s="15" t="s">
        <v>65</v>
      </c>
      <c r="C606" s="12" t="s">
        <v>120</v>
      </c>
      <c r="D606" s="11" t="s">
        <v>17</v>
      </c>
      <c r="E606" s="10" t="str">
        <f>IF(D606="","",VLOOKUP(D606,TemplateCode!$A$2:$C$999,2,FALSE))</f>
        <v>1440</v>
      </c>
      <c r="F606" s="10" t="str">
        <f>IF(D606="","",VLOOKUP(D606,TemplateCode!$A$2:$C$999,3,FALSE))</f>
        <v>Ngày thường</v>
      </c>
      <c r="G606" s="11" t="s">
        <v>52</v>
      </c>
      <c r="H606" s="10" t="str">
        <f>IF(G606="","",VLOOKUP(G606,TemplateCode!$E$2:$G$700,2,FALSE))</f>
        <v>90000456</v>
      </c>
      <c r="I606" s="10" t="str">
        <f>IF(G606="","",VLOOKUP(G606,TemplateCode!$E$2:$G$700,3,FALSE))</f>
        <v>Ca ngày</v>
      </c>
    </row>
    <row r="607" spans="1:9" ht="15.75">
      <c r="A607" s="16">
        <v>43190065</v>
      </c>
      <c r="B607" s="15" t="s">
        <v>66</v>
      </c>
      <c r="C607" s="12" t="s">
        <v>120</v>
      </c>
      <c r="D607" s="11" t="s">
        <v>17</v>
      </c>
      <c r="E607" s="10" t="str">
        <f>IF(D607="","",VLOOKUP(D607,TemplateCode!$A$2:$C$999,2,FALSE))</f>
        <v>1440</v>
      </c>
      <c r="F607" s="10" t="str">
        <f>IF(D607="","",VLOOKUP(D607,TemplateCode!$A$2:$C$999,3,FALSE))</f>
        <v>Ngày thường</v>
      </c>
      <c r="G607" s="11" t="s">
        <v>52</v>
      </c>
      <c r="H607" s="10" t="str">
        <f>IF(G607="","",VLOOKUP(G607,TemplateCode!$E$2:$G$700,2,FALSE))</f>
        <v>90000456</v>
      </c>
      <c r="I607" s="10" t="str">
        <f>IF(G607="","",VLOOKUP(G607,TemplateCode!$E$2:$G$700,3,FALSE))</f>
        <v>Ca ngày</v>
      </c>
    </row>
    <row r="608" spans="1:9" ht="15.75">
      <c r="A608" s="16">
        <v>43190105</v>
      </c>
      <c r="B608" s="15" t="s">
        <v>67</v>
      </c>
      <c r="C608" s="12" t="s">
        <v>120</v>
      </c>
      <c r="D608" s="11" t="s">
        <v>17</v>
      </c>
      <c r="E608" s="10" t="str">
        <f>IF(D608="","",VLOOKUP(D608,TemplateCode!$A$2:$C$999,2,FALSE))</f>
        <v>1440</v>
      </c>
      <c r="F608" s="10" t="str">
        <f>IF(D608="","",VLOOKUP(D608,TemplateCode!$A$2:$C$999,3,FALSE))</f>
        <v>Ngày thường</v>
      </c>
      <c r="G608" s="11" t="s">
        <v>52</v>
      </c>
      <c r="H608" s="10" t="str">
        <f>IF(G608="","",VLOOKUP(G608,TemplateCode!$E$2:$G$700,2,FALSE))</f>
        <v>90000456</v>
      </c>
      <c r="I608" s="10" t="str">
        <f>IF(G608="","",VLOOKUP(G608,TemplateCode!$E$2:$G$700,3,FALSE))</f>
        <v>Ca ngày</v>
      </c>
    </row>
    <row r="609" spans="1:9" ht="15.75">
      <c r="A609" s="16">
        <v>43190109</v>
      </c>
      <c r="B609" s="17" t="s">
        <v>68</v>
      </c>
      <c r="C609" s="12" t="s">
        <v>120</v>
      </c>
      <c r="D609" s="11" t="s">
        <v>17</v>
      </c>
      <c r="E609" s="10" t="str">
        <f>IF(D609="","",VLOOKUP(D609,TemplateCode!$A$2:$C$999,2,FALSE))</f>
        <v>1440</v>
      </c>
      <c r="F609" s="10" t="str">
        <f>IF(D609="","",VLOOKUP(D609,TemplateCode!$A$2:$C$999,3,FALSE))</f>
        <v>Ngày thường</v>
      </c>
      <c r="G609" s="11" t="s">
        <v>52</v>
      </c>
      <c r="H609" s="10" t="str">
        <f>IF(G609="","",VLOOKUP(G609,TemplateCode!$E$2:$G$700,2,FALSE))</f>
        <v>90000456</v>
      </c>
      <c r="I609" s="10" t="str">
        <f>IF(G609="","",VLOOKUP(G609,TemplateCode!$E$2:$G$700,3,FALSE))</f>
        <v>Ca ngày</v>
      </c>
    </row>
    <row r="610" spans="1:9" ht="15.75">
      <c r="A610" s="18">
        <v>43190124</v>
      </c>
      <c r="B610" s="17" t="s">
        <v>69</v>
      </c>
      <c r="C610" s="12" t="s">
        <v>120</v>
      </c>
      <c r="D610" s="11" t="s">
        <v>17</v>
      </c>
      <c r="E610" s="10" t="str">
        <f>IF(D610="","",VLOOKUP(D610,TemplateCode!$A$2:$C$999,2,FALSE))</f>
        <v>1440</v>
      </c>
      <c r="F610" s="10" t="str">
        <f>IF(D610="","",VLOOKUP(D610,TemplateCode!$A$2:$C$999,3,FALSE))</f>
        <v>Ngày thường</v>
      </c>
      <c r="G610" s="11" t="s">
        <v>52</v>
      </c>
      <c r="H610" s="10" t="str">
        <f>IF(G610="","",VLOOKUP(G610,TemplateCode!$E$2:$G$700,2,FALSE))</f>
        <v>90000456</v>
      </c>
      <c r="I610" s="10" t="str">
        <f>IF(G610="","",VLOOKUP(G610,TemplateCode!$E$2:$G$700,3,FALSE))</f>
        <v>Ca ngày</v>
      </c>
    </row>
    <row r="611" spans="1:9" ht="15.75">
      <c r="A611" s="15">
        <v>43190125</v>
      </c>
      <c r="B611" s="15" t="s">
        <v>70</v>
      </c>
      <c r="C611" s="12" t="s">
        <v>120</v>
      </c>
      <c r="D611" s="11" t="s">
        <v>17</v>
      </c>
      <c r="E611" s="10" t="str">
        <f>IF(D611="","",VLOOKUP(D611,TemplateCode!$A$2:$C$999,2,FALSE))</f>
        <v>1440</v>
      </c>
      <c r="F611" s="10" t="str">
        <f>IF(D611="","",VLOOKUP(D611,TemplateCode!$A$2:$C$999,3,FALSE))</f>
        <v>Ngày thường</v>
      </c>
      <c r="G611" s="11" t="s">
        <v>52</v>
      </c>
      <c r="H611" s="10" t="str">
        <f>IF(G611="","",VLOOKUP(G611,TemplateCode!$E$2:$G$700,2,FALSE))</f>
        <v>90000456</v>
      </c>
      <c r="I611" s="10" t="str">
        <f>IF(G611="","",VLOOKUP(G611,TemplateCode!$E$2:$G$700,3,FALSE))</f>
        <v>Ca ngày</v>
      </c>
    </row>
    <row r="612" spans="1:9" ht="15.75">
      <c r="A612" s="15">
        <v>43190126</v>
      </c>
      <c r="B612" s="15" t="s">
        <v>71</v>
      </c>
      <c r="C612" s="12" t="s">
        <v>120</v>
      </c>
      <c r="D612" s="11" t="s">
        <v>17</v>
      </c>
      <c r="E612" s="10" t="str">
        <f>IF(D612="","",VLOOKUP(D612,TemplateCode!$A$2:$C$999,2,FALSE))</f>
        <v>1440</v>
      </c>
      <c r="F612" s="10" t="str">
        <f>IF(D612="","",VLOOKUP(D612,TemplateCode!$A$2:$C$999,3,FALSE))</f>
        <v>Ngày thường</v>
      </c>
      <c r="G612" s="11" t="s">
        <v>52</v>
      </c>
      <c r="H612" s="10" t="str">
        <f>IF(G612="","",VLOOKUP(G612,TemplateCode!$E$2:$G$700,2,FALSE))</f>
        <v>90000456</v>
      </c>
      <c r="I612" s="10" t="str">
        <f>IF(G612="","",VLOOKUP(G612,TemplateCode!$E$2:$G$700,3,FALSE))</f>
        <v>Ca ngày</v>
      </c>
    </row>
    <row r="613" spans="1:9" ht="15.75">
      <c r="A613" s="15">
        <v>43190169</v>
      </c>
      <c r="B613" s="15" t="s">
        <v>72</v>
      </c>
      <c r="C613" s="12" t="s">
        <v>120</v>
      </c>
      <c r="D613" s="11" t="s">
        <v>17</v>
      </c>
      <c r="E613" s="10" t="str">
        <f>IF(D613="","",VLOOKUP(D613,TemplateCode!$A$2:$C$999,2,FALSE))</f>
        <v>1440</v>
      </c>
      <c r="F613" s="10" t="str">
        <f>IF(D613="","",VLOOKUP(D613,TemplateCode!$A$2:$C$999,3,FALSE))</f>
        <v>Ngày thường</v>
      </c>
      <c r="G613" s="11" t="s">
        <v>52</v>
      </c>
      <c r="H613" s="10" t="str">
        <f>IF(G613="","",VLOOKUP(G613,TemplateCode!$E$2:$G$700,2,FALSE))</f>
        <v>90000456</v>
      </c>
      <c r="I613" s="10" t="str">
        <f>IF(G613="","",VLOOKUP(G613,TemplateCode!$E$2:$G$700,3,FALSE))</f>
        <v>Ca ngày</v>
      </c>
    </row>
    <row r="614" spans="1:9" ht="15.75">
      <c r="A614" s="16">
        <v>43190163</v>
      </c>
      <c r="B614" s="17" t="s">
        <v>73</v>
      </c>
      <c r="C614" s="12" t="s">
        <v>120</v>
      </c>
      <c r="D614" s="11" t="s">
        <v>17</v>
      </c>
      <c r="E614" s="10" t="str">
        <f>IF(D614="","",VLOOKUP(D614,TemplateCode!$A$2:$C$999,2,FALSE))</f>
        <v>1440</v>
      </c>
      <c r="F614" s="10" t="str">
        <f>IF(D614="","",VLOOKUP(D614,TemplateCode!$A$2:$C$999,3,FALSE))</f>
        <v>Ngày thường</v>
      </c>
      <c r="G614" s="11" t="s">
        <v>52</v>
      </c>
      <c r="H614" s="10" t="str">
        <f>IF(G614="","",VLOOKUP(G614,TemplateCode!$E$2:$G$700,2,FALSE))</f>
        <v>90000456</v>
      </c>
      <c r="I614" s="10" t="str">
        <f>IF(G614="","",VLOOKUP(G614,TemplateCode!$E$2:$G$700,3,FALSE))</f>
        <v>Ca ngày</v>
      </c>
    </row>
    <row r="615" spans="1:9" ht="15.75">
      <c r="A615" s="19">
        <v>43190435</v>
      </c>
      <c r="B615" s="20" t="s">
        <v>74</v>
      </c>
      <c r="C615" s="12" t="s">
        <v>120</v>
      </c>
      <c r="D615" s="11" t="s">
        <v>17</v>
      </c>
      <c r="E615" s="10" t="str">
        <f>IF(D615="","",VLOOKUP(D615,TemplateCode!$A$2:$C$999,2,FALSE))</f>
        <v>1440</v>
      </c>
      <c r="F615" s="10" t="str">
        <f>IF(D615="","",VLOOKUP(D615,TemplateCode!$A$2:$C$999,3,FALSE))</f>
        <v>Ngày thường</v>
      </c>
      <c r="G615" s="11" t="s">
        <v>52</v>
      </c>
      <c r="H615" s="10" t="str">
        <f>IF(G615="","",VLOOKUP(G615,TemplateCode!$E$2:$G$700,2,FALSE))</f>
        <v>90000456</v>
      </c>
      <c r="I615" s="10" t="str">
        <f>IF(G615="","",VLOOKUP(G615,TemplateCode!$E$2:$G$700,3,FALSE))</f>
        <v>Ca ngày</v>
      </c>
    </row>
    <row r="616" spans="1:9" ht="15.75">
      <c r="A616" s="21">
        <v>43190459</v>
      </c>
      <c r="B616" s="20" t="s">
        <v>75</v>
      </c>
      <c r="C616" s="12" t="s">
        <v>120</v>
      </c>
      <c r="D616" s="11" t="s">
        <v>17</v>
      </c>
      <c r="E616" s="10" t="str">
        <f>IF(D616="","",VLOOKUP(D616,TemplateCode!$A$2:$C$999,2,FALSE))</f>
        <v>1440</v>
      </c>
      <c r="F616" s="10" t="str">
        <f>IF(D616="","",VLOOKUP(D616,TemplateCode!$A$2:$C$999,3,FALSE))</f>
        <v>Ngày thường</v>
      </c>
      <c r="G616" s="11" t="s">
        <v>52</v>
      </c>
      <c r="H616" s="10" t="str">
        <f>IF(G616="","",VLOOKUP(G616,TemplateCode!$E$2:$G$700,2,FALSE))</f>
        <v>90000456</v>
      </c>
      <c r="I616" s="10" t="str">
        <f>IF(G616="","",VLOOKUP(G616,TemplateCode!$E$2:$G$700,3,FALSE))</f>
        <v>Ca ngày</v>
      </c>
    </row>
    <row r="617" spans="1:9" ht="15.75">
      <c r="A617" s="19">
        <v>43190506</v>
      </c>
      <c r="B617" s="20" t="s">
        <v>76</v>
      </c>
      <c r="C617" s="12" t="s">
        <v>120</v>
      </c>
      <c r="D617" s="11" t="s">
        <v>17</v>
      </c>
      <c r="E617" s="10" t="str">
        <f>IF(D617="","",VLOOKUP(D617,TemplateCode!$A$2:$C$999,2,FALSE))</f>
        <v>1440</v>
      </c>
      <c r="F617" s="10" t="str">
        <f>IF(D617="","",VLOOKUP(D617,TemplateCode!$A$2:$C$999,3,FALSE))</f>
        <v>Ngày thường</v>
      </c>
      <c r="G617" s="11" t="s">
        <v>52</v>
      </c>
      <c r="H617" s="10" t="str">
        <f>IF(G617="","",VLOOKUP(G617,TemplateCode!$E$2:$G$700,2,FALSE))</f>
        <v>90000456</v>
      </c>
      <c r="I617" s="10" t="str">
        <f>IF(G617="","",VLOOKUP(G617,TemplateCode!$E$2:$G$700,3,FALSE))</f>
        <v>Ca ngày</v>
      </c>
    </row>
    <row r="618" spans="1:9" ht="15.75">
      <c r="A618" s="22">
        <v>43190785</v>
      </c>
      <c r="B618" s="22" t="s">
        <v>77</v>
      </c>
      <c r="C618" s="12" t="s">
        <v>120</v>
      </c>
      <c r="D618" s="11" t="s">
        <v>17</v>
      </c>
      <c r="E618" s="10" t="str">
        <f>IF(D618="","",VLOOKUP(D618,TemplateCode!$A$2:$C$999,2,FALSE))</f>
        <v>1440</v>
      </c>
      <c r="F618" s="10" t="str">
        <f>IF(D618="","",VLOOKUP(D618,TemplateCode!$A$2:$C$999,3,FALSE))</f>
        <v>Ngày thường</v>
      </c>
      <c r="G618" s="11" t="s">
        <v>52</v>
      </c>
      <c r="H618" s="10" t="str">
        <f>IF(G618="","",VLOOKUP(G618,TemplateCode!$E$2:$G$700,2,FALSE))</f>
        <v>90000456</v>
      </c>
      <c r="I618" s="10" t="str">
        <f>IF(G618="","",VLOOKUP(G618,TemplateCode!$E$2:$G$700,3,FALSE))</f>
        <v>Ca ngày</v>
      </c>
    </row>
    <row r="619" spans="1:9" ht="18.75">
      <c r="A619" s="13">
        <v>43190799</v>
      </c>
      <c r="B619" s="23" t="s">
        <v>78</v>
      </c>
      <c r="C619" s="12" t="s">
        <v>120</v>
      </c>
      <c r="D619" s="11" t="s">
        <v>17</v>
      </c>
      <c r="E619" s="10" t="str">
        <f>IF(D619="","",VLOOKUP(D619,TemplateCode!$A$2:$C$999,2,FALSE))</f>
        <v>1440</v>
      </c>
      <c r="F619" s="10" t="str">
        <f>IF(D619="","",VLOOKUP(D619,TemplateCode!$A$2:$C$999,3,FALSE))</f>
        <v>Ngày thường</v>
      </c>
      <c r="G619" s="11" t="s">
        <v>52</v>
      </c>
      <c r="H619" s="10" t="str">
        <f>IF(G619="","",VLOOKUP(G619,TemplateCode!$E$2:$G$700,2,FALSE))</f>
        <v>90000456</v>
      </c>
      <c r="I619" s="10" t="str">
        <f>IF(G619="","",VLOOKUP(G619,TemplateCode!$E$2:$G$700,3,FALSE))</f>
        <v>Ca ngày</v>
      </c>
    </row>
    <row r="620" spans="1:9" ht="18.75">
      <c r="A620" s="13">
        <v>43190800</v>
      </c>
      <c r="B620" s="23" t="s">
        <v>79</v>
      </c>
      <c r="C620" s="12" t="s">
        <v>120</v>
      </c>
      <c r="D620" s="11" t="s">
        <v>17</v>
      </c>
      <c r="E620" s="10" t="str">
        <f>IF(D620="","",VLOOKUP(D620,TemplateCode!$A$2:$C$999,2,FALSE))</f>
        <v>1440</v>
      </c>
      <c r="F620" s="10" t="str">
        <f>IF(D620="","",VLOOKUP(D620,TemplateCode!$A$2:$C$999,3,FALSE))</f>
        <v>Ngày thường</v>
      </c>
      <c r="G620" s="11" t="s">
        <v>52</v>
      </c>
      <c r="H620" s="10" t="str">
        <f>IF(G620="","",VLOOKUP(G620,TemplateCode!$E$2:$G$700,2,FALSE))</f>
        <v>90000456</v>
      </c>
      <c r="I620" s="10" t="str">
        <f>IF(G620="","",VLOOKUP(G620,TemplateCode!$E$2:$G$700,3,FALSE))</f>
        <v>Ca ngày</v>
      </c>
    </row>
    <row r="621" spans="1:9" ht="15.75">
      <c r="A621" s="24">
        <v>43190817</v>
      </c>
      <c r="B621" s="25" t="s">
        <v>80</v>
      </c>
      <c r="C621" s="12" t="s">
        <v>120</v>
      </c>
      <c r="D621" s="11" t="s">
        <v>17</v>
      </c>
      <c r="E621" s="10" t="str">
        <f>IF(D621="","",VLOOKUP(D621,TemplateCode!$A$2:$C$999,2,FALSE))</f>
        <v>1440</v>
      </c>
      <c r="F621" s="10" t="str">
        <f>IF(D621="","",VLOOKUP(D621,TemplateCode!$A$2:$C$999,3,FALSE))</f>
        <v>Ngày thường</v>
      </c>
      <c r="G621" s="11" t="s">
        <v>52</v>
      </c>
      <c r="H621" s="10" t="str">
        <f>IF(G621="","",VLOOKUP(G621,TemplateCode!$E$2:$G$700,2,FALSE))</f>
        <v>90000456</v>
      </c>
      <c r="I621" s="10" t="str">
        <f>IF(G621="","",VLOOKUP(G621,TemplateCode!$E$2:$G$700,3,FALSE))</f>
        <v>Ca ngày</v>
      </c>
    </row>
    <row r="622" spans="1:9" ht="15.75">
      <c r="A622" s="26">
        <v>43190892</v>
      </c>
      <c r="B622" s="22" t="s">
        <v>81</v>
      </c>
      <c r="C622" s="12" t="s">
        <v>120</v>
      </c>
      <c r="D622" s="11" t="s">
        <v>17</v>
      </c>
      <c r="E622" s="10" t="str">
        <f>IF(D622="","",VLOOKUP(D622,TemplateCode!$A$2:$C$999,2,FALSE))</f>
        <v>1440</v>
      </c>
      <c r="F622" s="10" t="str">
        <f>IF(D622="","",VLOOKUP(D622,TemplateCode!$A$2:$C$999,3,FALSE))</f>
        <v>Ngày thường</v>
      </c>
      <c r="G622" s="11" t="s">
        <v>52</v>
      </c>
      <c r="H622" s="10" t="str">
        <f>IF(G622="","",VLOOKUP(G622,TemplateCode!$E$2:$G$700,2,FALSE))</f>
        <v>90000456</v>
      </c>
      <c r="I622" s="10" t="str">
        <f>IF(G622="","",VLOOKUP(G622,TemplateCode!$E$2:$G$700,3,FALSE))</f>
        <v>Ca ngày</v>
      </c>
    </row>
    <row r="623" spans="1:9" ht="15.75">
      <c r="A623" s="26">
        <v>43190893</v>
      </c>
      <c r="B623" s="22" t="s">
        <v>82</v>
      </c>
      <c r="C623" s="12" t="s">
        <v>120</v>
      </c>
      <c r="D623" s="11" t="s">
        <v>17</v>
      </c>
      <c r="E623" s="10" t="str">
        <f>IF(D623="","",VLOOKUP(D623,TemplateCode!$A$2:$C$999,2,FALSE))</f>
        <v>1440</v>
      </c>
      <c r="F623" s="10" t="str">
        <f>IF(D623="","",VLOOKUP(D623,TemplateCode!$A$2:$C$999,3,FALSE))</f>
        <v>Ngày thường</v>
      </c>
      <c r="G623" s="11" t="s">
        <v>52</v>
      </c>
      <c r="H623" s="10" t="str">
        <f>IF(G623="","",VLOOKUP(G623,TemplateCode!$E$2:$G$700,2,FALSE))</f>
        <v>90000456</v>
      </c>
      <c r="I623" s="10" t="str">
        <f>IF(G623="","",VLOOKUP(G623,TemplateCode!$E$2:$G$700,3,FALSE))</f>
        <v>Ca ngày</v>
      </c>
    </row>
    <row r="624" spans="1:9" ht="15.75">
      <c r="A624" s="27">
        <v>43190244</v>
      </c>
      <c r="B624" s="28" t="s">
        <v>84</v>
      </c>
      <c r="C624" s="29" t="s">
        <v>120</v>
      </c>
      <c r="D624" s="30" t="s">
        <v>17</v>
      </c>
      <c r="E624" s="31" t="str">
        <f>IF(D624="","",VLOOKUP(D624,TemplateCode!$A$2:$C$999,2,FALSE))</f>
        <v>1440</v>
      </c>
      <c r="F624" s="31" t="str">
        <f>IF(D624="","",VLOOKUP(D624,TemplateCode!$A$2:$C$999,3,FALSE))</f>
        <v>Ngày thường</v>
      </c>
      <c r="G624" s="30" t="s">
        <v>31</v>
      </c>
      <c r="H624" s="31" t="str">
        <f>IF(G624="","",VLOOKUP(G624,TemplateCode!$E$2:$G$700,2,FALSE))</f>
        <v>14015595</v>
      </c>
      <c r="I624" s="31" t="str">
        <f>IF(G624="","",VLOOKUP(G624,TemplateCode!$E$2:$G$700,3,FALSE))</f>
        <v>Ca đêm</v>
      </c>
    </row>
    <row r="625" spans="1:9" ht="15.75">
      <c r="A625" s="32">
        <v>43190464</v>
      </c>
      <c r="B625" s="33" t="s">
        <v>85</v>
      </c>
      <c r="C625" s="29" t="s">
        <v>120</v>
      </c>
      <c r="D625" s="30" t="s">
        <v>17</v>
      </c>
      <c r="E625" s="31" t="str">
        <f>IF(D625="","",VLOOKUP(D625,TemplateCode!$A$2:$C$999,2,FALSE))</f>
        <v>1440</v>
      </c>
      <c r="F625" s="31" t="str">
        <f>IF(D625="","",VLOOKUP(D625,TemplateCode!$A$2:$C$999,3,FALSE))</f>
        <v>Ngày thường</v>
      </c>
      <c r="G625" s="30" t="s">
        <v>31</v>
      </c>
      <c r="H625" s="31" t="str">
        <f>IF(G625="","",VLOOKUP(G625,TemplateCode!$E$2:$G$700,2,FALSE))</f>
        <v>14015595</v>
      </c>
      <c r="I625" s="31" t="str">
        <f>IF(G625="","",VLOOKUP(G625,TemplateCode!$E$2:$G$700,3,FALSE))</f>
        <v>Ca đêm</v>
      </c>
    </row>
    <row r="626" spans="1:9" ht="15.75">
      <c r="A626" s="34">
        <v>43180875</v>
      </c>
      <c r="B626" s="34" t="s">
        <v>86</v>
      </c>
      <c r="C626" s="29" t="s">
        <v>120</v>
      </c>
      <c r="D626" s="30" t="s">
        <v>17</v>
      </c>
      <c r="E626" s="31" t="str">
        <f>IF(D626="","",VLOOKUP(D626,TemplateCode!$A$2:$C$999,2,FALSE))</f>
        <v>1440</v>
      </c>
      <c r="F626" s="31" t="str">
        <f>IF(D626="","",VLOOKUP(D626,TemplateCode!$A$2:$C$999,3,FALSE))</f>
        <v>Ngày thường</v>
      </c>
      <c r="G626" s="30" t="s">
        <v>31</v>
      </c>
      <c r="H626" s="31" t="str">
        <f>IF(G626="","",VLOOKUP(G626,TemplateCode!$E$2:$G$700,2,FALSE))</f>
        <v>14015595</v>
      </c>
      <c r="I626" s="31" t="str">
        <f>IF(G626="","",VLOOKUP(G626,TemplateCode!$E$2:$G$700,3,FALSE))</f>
        <v>Ca đêm</v>
      </c>
    </row>
    <row r="627" spans="1:9" ht="15.75">
      <c r="A627" s="34">
        <v>43180879</v>
      </c>
      <c r="B627" s="34" t="s">
        <v>87</v>
      </c>
      <c r="C627" s="29" t="s">
        <v>120</v>
      </c>
      <c r="D627" s="30" t="s">
        <v>17</v>
      </c>
      <c r="E627" s="31" t="str">
        <f>IF(D627="","",VLOOKUP(D627,TemplateCode!$A$2:$C$999,2,FALSE))</f>
        <v>1440</v>
      </c>
      <c r="F627" s="31" t="str">
        <f>IF(D627="","",VLOOKUP(D627,TemplateCode!$A$2:$C$999,3,FALSE))</f>
        <v>Ngày thường</v>
      </c>
      <c r="G627" s="30" t="s">
        <v>31</v>
      </c>
      <c r="H627" s="31" t="str">
        <f>IF(G627="","",VLOOKUP(G627,TemplateCode!$E$2:$G$700,2,FALSE))</f>
        <v>14015595</v>
      </c>
      <c r="I627" s="31" t="str">
        <f>IF(G627="","",VLOOKUP(G627,TemplateCode!$E$2:$G$700,3,FALSE))</f>
        <v>Ca đêm</v>
      </c>
    </row>
    <row r="628" spans="1:9" ht="15.75">
      <c r="A628" s="27">
        <v>43181074</v>
      </c>
      <c r="B628" s="34" t="s">
        <v>88</v>
      </c>
      <c r="C628" s="29" t="s">
        <v>120</v>
      </c>
      <c r="D628" s="30" t="s">
        <v>17</v>
      </c>
      <c r="E628" s="31" t="str">
        <f>IF(D628="","",VLOOKUP(D628,TemplateCode!$A$2:$C$999,2,FALSE))</f>
        <v>1440</v>
      </c>
      <c r="F628" s="31" t="str">
        <f>IF(D628="","",VLOOKUP(D628,TemplateCode!$A$2:$C$999,3,FALSE))</f>
        <v>Ngày thường</v>
      </c>
      <c r="G628" s="30" t="s">
        <v>31</v>
      </c>
      <c r="H628" s="31" t="str">
        <f>IF(G628="","",VLOOKUP(G628,TemplateCode!$E$2:$G$700,2,FALSE))</f>
        <v>14015595</v>
      </c>
      <c r="I628" s="31" t="str">
        <f>IF(G628="","",VLOOKUP(G628,TemplateCode!$E$2:$G$700,3,FALSE))</f>
        <v>Ca đêm</v>
      </c>
    </row>
    <row r="629" spans="1:9" ht="15.75">
      <c r="A629" s="35">
        <v>43180750</v>
      </c>
      <c r="B629" s="28" t="s">
        <v>89</v>
      </c>
      <c r="C629" s="29" t="s">
        <v>120</v>
      </c>
      <c r="D629" s="30" t="s">
        <v>17</v>
      </c>
      <c r="E629" s="31" t="str">
        <f>IF(D629="","",VLOOKUP(D629,TemplateCode!$A$2:$C$999,2,FALSE))</f>
        <v>1440</v>
      </c>
      <c r="F629" s="31" t="str">
        <f>IF(D629="","",VLOOKUP(D629,TemplateCode!$A$2:$C$999,3,FALSE))</f>
        <v>Ngày thường</v>
      </c>
      <c r="G629" s="30" t="s">
        <v>31</v>
      </c>
      <c r="H629" s="31" t="str">
        <f>IF(G629="","",VLOOKUP(G629,TemplateCode!$E$2:$G$700,2,FALSE))</f>
        <v>14015595</v>
      </c>
      <c r="I629" s="31" t="str">
        <f>IF(G629="","",VLOOKUP(G629,TemplateCode!$E$2:$G$700,3,FALSE))</f>
        <v>Ca đêm</v>
      </c>
    </row>
    <row r="630" spans="1:9" ht="15.75">
      <c r="A630" s="35">
        <v>43181362</v>
      </c>
      <c r="B630" s="28" t="s">
        <v>90</v>
      </c>
      <c r="C630" s="29" t="s">
        <v>120</v>
      </c>
      <c r="D630" s="30" t="s">
        <v>17</v>
      </c>
      <c r="E630" s="31" t="str">
        <f>IF(D630="","",VLOOKUP(D630,TemplateCode!$A$2:$C$999,2,FALSE))</f>
        <v>1440</v>
      </c>
      <c r="F630" s="31" t="str">
        <f>IF(D630="","",VLOOKUP(D630,TemplateCode!$A$2:$C$999,3,FALSE))</f>
        <v>Ngày thường</v>
      </c>
      <c r="G630" s="30" t="s">
        <v>31</v>
      </c>
      <c r="H630" s="31" t="str">
        <f>IF(G630="","",VLOOKUP(G630,TemplateCode!$E$2:$G$700,2,FALSE))</f>
        <v>14015595</v>
      </c>
      <c r="I630" s="31" t="str">
        <f>IF(G630="","",VLOOKUP(G630,TemplateCode!$E$2:$G$700,3,FALSE))</f>
        <v>Ca đêm</v>
      </c>
    </row>
    <row r="631" spans="1:9" ht="15.75">
      <c r="A631" s="35">
        <v>43181479</v>
      </c>
      <c r="B631" s="28" t="s">
        <v>91</v>
      </c>
      <c r="C631" s="29" t="s">
        <v>120</v>
      </c>
      <c r="D631" s="30" t="s">
        <v>17</v>
      </c>
      <c r="E631" s="31" t="str">
        <f>IF(D631="","",VLOOKUP(D631,TemplateCode!$A$2:$C$999,2,FALSE))</f>
        <v>1440</v>
      </c>
      <c r="F631" s="31" t="str">
        <f>IF(D631="","",VLOOKUP(D631,TemplateCode!$A$2:$C$999,3,FALSE))</f>
        <v>Ngày thường</v>
      </c>
      <c r="G631" s="30" t="s">
        <v>31</v>
      </c>
      <c r="H631" s="31" t="str">
        <f>IF(G631="","",VLOOKUP(G631,TemplateCode!$E$2:$G$700,2,FALSE))</f>
        <v>14015595</v>
      </c>
      <c r="I631" s="31" t="str">
        <f>IF(G631="","",VLOOKUP(G631,TemplateCode!$E$2:$G$700,3,FALSE))</f>
        <v>Ca đêm</v>
      </c>
    </row>
    <row r="632" spans="1:9" ht="15.75">
      <c r="A632" s="35">
        <v>43190068</v>
      </c>
      <c r="B632" s="28" t="s">
        <v>92</v>
      </c>
      <c r="C632" s="29" t="s">
        <v>120</v>
      </c>
      <c r="D632" s="30" t="s">
        <v>17</v>
      </c>
      <c r="E632" s="31" t="str">
        <f>IF(D632="","",VLOOKUP(D632,TemplateCode!$A$2:$C$999,2,FALSE))</f>
        <v>1440</v>
      </c>
      <c r="F632" s="31" t="str">
        <f>IF(D632="","",VLOOKUP(D632,TemplateCode!$A$2:$C$999,3,FALSE))</f>
        <v>Ngày thường</v>
      </c>
      <c r="G632" s="30" t="s">
        <v>31</v>
      </c>
      <c r="H632" s="31" t="str">
        <f>IF(G632="","",VLOOKUP(G632,TemplateCode!$E$2:$G$700,2,FALSE))</f>
        <v>14015595</v>
      </c>
      <c r="I632" s="31" t="str">
        <f>IF(G632="","",VLOOKUP(G632,TemplateCode!$E$2:$G$700,3,FALSE))</f>
        <v>Ca đêm</v>
      </c>
    </row>
    <row r="633" spans="1:9" ht="15.75">
      <c r="A633" s="35">
        <v>43190084</v>
      </c>
      <c r="B633" s="28" t="s">
        <v>93</v>
      </c>
      <c r="C633" s="29" t="s">
        <v>120</v>
      </c>
      <c r="D633" s="30" t="s">
        <v>17</v>
      </c>
      <c r="E633" s="31" t="str">
        <f>IF(D633="","",VLOOKUP(D633,TemplateCode!$A$2:$C$999,2,FALSE))</f>
        <v>1440</v>
      </c>
      <c r="F633" s="31" t="str">
        <f>IF(D633="","",VLOOKUP(D633,TemplateCode!$A$2:$C$999,3,FALSE))</f>
        <v>Ngày thường</v>
      </c>
      <c r="G633" s="30" t="s">
        <v>31</v>
      </c>
      <c r="H633" s="31" t="str">
        <f>IF(G633="","",VLOOKUP(G633,TemplateCode!$E$2:$G$700,2,FALSE))</f>
        <v>14015595</v>
      </c>
      <c r="I633" s="31" t="str">
        <f>IF(G633="","",VLOOKUP(G633,TemplateCode!$E$2:$G$700,3,FALSE))</f>
        <v>Ca đêm</v>
      </c>
    </row>
    <row r="634" spans="1:9" ht="15.75">
      <c r="A634" s="27">
        <v>43190108</v>
      </c>
      <c r="B634" s="28" t="s">
        <v>94</v>
      </c>
      <c r="C634" s="29" t="s">
        <v>120</v>
      </c>
      <c r="D634" s="30" t="s">
        <v>17</v>
      </c>
      <c r="E634" s="31" t="str">
        <f>IF(D634="","",VLOOKUP(D634,TemplateCode!$A$2:$C$999,2,FALSE))</f>
        <v>1440</v>
      </c>
      <c r="F634" s="31" t="str">
        <f>IF(D634="","",VLOOKUP(D634,TemplateCode!$A$2:$C$999,3,FALSE))</f>
        <v>Ngày thường</v>
      </c>
      <c r="G634" s="30" t="s">
        <v>31</v>
      </c>
      <c r="H634" s="31" t="str">
        <f>IF(G634="","",VLOOKUP(G634,TemplateCode!$E$2:$G$700,2,FALSE))</f>
        <v>14015595</v>
      </c>
      <c r="I634" s="31" t="str">
        <f>IF(G634="","",VLOOKUP(G634,TemplateCode!$E$2:$G$700,3,FALSE))</f>
        <v>Ca đêm</v>
      </c>
    </row>
    <row r="635" spans="1:9" ht="15.75">
      <c r="A635" s="34">
        <v>43190107</v>
      </c>
      <c r="B635" s="34" t="s">
        <v>95</v>
      </c>
      <c r="C635" s="29" t="s">
        <v>120</v>
      </c>
      <c r="D635" s="30" t="s">
        <v>17</v>
      </c>
      <c r="E635" s="31" t="str">
        <f>IF(D635="","",VLOOKUP(D635,TemplateCode!$A$2:$C$999,2,FALSE))</f>
        <v>1440</v>
      </c>
      <c r="F635" s="31" t="str">
        <f>IF(D635="","",VLOOKUP(D635,TemplateCode!$A$2:$C$999,3,FALSE))</f>
        <v>Ngày thường</v>
      </c>
      <c r="G635" s="30" t="s">
        <v>31</v>
      </c>
      <c r="H635" s="31" t="str">
        <f>IF(G635="","",VLOOKUP(G635,TemplateCode!$E$2:$G$700,2,FALSE))</f>
        <v>14015595</v>
      </c>
      <c r="I635" s="31" t="str">
        <f>IF(G635="","",VLOOKUP(G635,TemplateCode!$E$2:$G$700,3,FALSE))</f>
        <v>Ca đêm</v>
      </c>
    </row>
    <row r="636" spans="1:9" ht="15.75">
      <c r="A636" s="27">
        <v>43190129</v>
      </c>
      <c r="B636" s="28" t="s">
        <v>96</v>
      </c>
      <c r="C636" s="29" t="s">
        <v>120</v>
      </c>
      <c r="D636" s="30" t="s">
        <v>17</v>
      </c>
      <c r="E636" s="31" t="str">
        <f>IF(D636="","",VLOOKUP(D636,TemplateCode!$A$2:$C$999,2,FALSE))</f>
        <v>1440</v>
      </c>
      <c r="F636" s="31" t="str">
        <f>IF(D636="","",VLOOKUP(D636,TemplateCode!$A$2:$C$999,3,FALSE))</f>
        <v>Ngày thường</v>
      </c>
      <c r="G636" s="30" t="s">
        <v>31</v>
      </c>
      <c r="H636" s="31" t="str">
        <f>IF(G636="","",VLOOKUP(G636,TemplateCode!$E$2:$G$700,2,FALSE))</f>
        <v>14015595</v>
      </c>
      <c r="I636" s="31" t="str">
        <f>IF(G636="","",VLOOKUP(G636,TemplateCode!$E$2:$G$700,3,FALSE))</f>
        <v>Ca đêm</v>
      </c>
    </row>
    <row r="637" spans="1:9" ht="15.75">
      <c r="A637" s="34">
        <v>43190248</v>
      </c>
      <c r="B637" s="34" t="s">
        <v>97</v>
      </c>
      <c r="C637" s="29" t="s">
        <v>120</v>
      </c>
      <c r="D637" s="30" t="s">
        <v>17</v>
      </c>
      <c r="E637" s="31" t="str">
        <f>IF(D637="","",VLOOKUP(D637,TemplateCode!$A$2:$C$999,2,FALSE))</f>
        <v>1440</v>
      </c>
      <c r="F637" s="31" t="str">
        <f>IF(D637="","",VLOOKUP(D637,TemplateCode!$A$2:$C$999,3,FALSE))</f>
        <v>Ngày thường</v>
      </c>
      <c r="G637" s="30" t="s">
        <v>31</v>
      </c>
      <c r="H637" s="31" t="str">
        <f>IF(G637="","",VLOOKUP(G637,TemplateCode!$E$2:$G$700,2,FALSE))</f>
        <v>14015595</v>
      </c>
      <c r="I637" s="31" t="str">
        <f>IF(G637="","",VLOOKUP(G637,TemplateCode!$E$2:$G$700,3,FALSE))</f>
        <v>Ca đêm</v>
      </c>
    </row>
    <row r="638" spans="1:9" ht="15.75">
      <c r="A638" s="34">
        <v>43190251</v>
      </c>
      <c r="B638" s="34" t="s">
        <v>98</v>
      </c>
      <c r="C638" s="29" t="s">
        <v>120</v>
      </c>
      <c r="D638" s="30" t="s">
        <v>17</v>
      </c>
      <c r="E638" s="31" t="str">
        <f>IF(D638="","",VLOOKUP(D638,TemplateCode!$A$2:$C$999,2,FALSE))</f>
        <v>1440</v>
      </c>
      <c r="F638" s="31" t="str">
        <f>IF(D638="","",VLOOKUP(D638,TemplateCode!$A$2:$C$999,3,FALSE))</f>
        <v>Ngày thường</v>
      </c>
      <c r="G638" s="30" t="s">
        <v>31</v>
      </c>
      <c r="H638" s="31" t="str">
        <f>IF(G638="","",VLOOKUP(G638,TemplateCode!$E$2:$G$700,2,FALSE))</f>
        <v>14015595</v>
      </c>
      <c r="I638" s="31" t="str">
        <f>IF(G638="","",VLOOKUP(G638,TemplateCode!$E$2:$G$700,3,FALSE))</f>
        <v>Ca đêm</v>
      </c>
    </row>
    <row r="639" spans="1:9" ht="15.75">
      <c r="A639" s="34">
        <v>43190278</v>
      </c>
      <c r="B639" s="34" t="s">
        <v>99</v>
      </c>
      <c r="C639" s="29" t="s">
        <v>120</v>
      </c>
      <c r="D639" s="30" t="s">
        <v>17</v>
      </c>
      <c r="E639" s="31" t="str">
        <f>IF(D639="","",VLOOKUP(D639,TemplateCode!$A$2:$C$999,2,FALSE))</f>
        <v>1440</v>
      </c>
      <c r="F639" s="31" t="str">
        <f>IF(D639="","",VLOOKUP(D639,TemplateCode!$A$2:$C$999,3,FALSE))</f>
        <v>Ngày thường</v>
      </c>
      <c r="G639" s="30" t="s">
        <v>31</v>
      </c>
      <c r="H639" s="31" t="str">
        <f>IF(G639="","",VLOOKUP(G639,TemplateCode!$E$2:$G$700,2,FALSE))</f>
        <v>14015595</v>
      </c>
      <c r="I639" s="31" t="str">
        <f>IF(G639="","",VLOOKUP(G639,TemplateCode!$E$2:$G$700,3,FALSE))</f>
        <v>Ca đêm</v>
      </c>
    </row>
    <row r="640" spans="1:9" ht="15.75">
      <c r="A640" s="36">
        <v>43190385</v>
      </c>
      <c r="B640" s="33" t="s">
        <v>100</v>
      </c>
      <c r="C640" s="29" t="s">
        <v>120</v>
      </c>
      <c r="D640" s="30" t="s">
        <v>17</v>
      </c>
      <c r="E640" s="31" t="str">
        <f>IF(D640="","",VLOOKUP(D640,TemplateCode!$A$2:$C$999,2,FALSE))</f>
        <v>1440</v>
      </c>
      <c r="F640" s="31" t="str">
        <f>IF(D640="","",VLOOKUP(D640,TemplateCode!$A$2:$C$999,3,FALSE))</f>
        <v>Ngày thường</v>
      </c>
      <c r="G640" s="30" t="s">
        <v>31</v>
      </c>
      <c r="H640" s="31" t="str">
        <f>IF(G640="","",VLOOKUP(G640,TemplateCode!$E$2:$G$700,2,FALSE))</f>
        <v>14015595</v>
      </c>
      <c r="I640" s="31" t="str">
        <f>IF(G640="","",VLOOKUP(G640,TemplateCode!$E$2:$G$700,3,FALSE))</f>
        <v>Ca đêm</v>
      </c>
    </row>
    <row r="641" spans="1:9" ht="15.75">
      <c r="A641" s="36">
        <v>43190389</v>
      </c>
      <c r="B641" s="33" t="s">
        <v>101</v>
      </c>
      <c r="C641" s="29" t="s">
        <v>120</v>
      </c>
      <c r="D641" s="30" t="s">
        <v>17</v>
      </c>
      <c r="E641" s="31" t="str">
        <f>IF(D641="","",VLOOKUP(D641,TemplateCode!$A$2:$C$999,2,FALSE))</f>
        <v>1440</v>
      </c>
      <c r="F641" s="31" t="str">
        <f>IF(D641="","",VLOOKUP(D641,TemplateCode!$A$2:$C$999,3,FALSE))</f>
        <v>Ngày thường</v>
      </c>
      <c r="G641" s="30" t="s">
        <v>31</v>
      </c>
      <c r="H641" s="31" t="str">
        <f>IF(G641="","",VLOOKUP(G641,TemplateCode!$E$2:$G$700,2,FALSE))</f>
        <v>14015595</v>
      </c>
      <c r="I641" s="31" t="str">
        <f>IF(G641="","",VLOOKUP(G641,TemplateCode!$E$2:$G$700,3,FALSE))</f>
        <v>Ca đêm</v>
      </c>
    </row>
    <row r="642" spans="1:9" ht="15.75">
      <c r="A642" s="35">
        <v>43181469</v>
      </c>
      <c r="B642" s="28" t="s">
        <v>102</v>
      </c>
      <c r="C642" s="29" t="s">
        <v>120</v>
      </c>
      <c r="D642" s="30" t="s">
        <v>17</v>
      </c>
      <c r="E642" s="31" t="str">
        <f>IF(D642="","",VLOOKUP(D642,TemplateCode!$A$2:$C$999,2,FALSE))</f>
        <v>1440</v>
      </c>
      <c r="F642" s="31" t="str">
        <f>IF(D642="","",VLOOKUP(D642,TemplateCode!$A$2:$C$999,3,FALSE))</f>
        <v>Ngày thường</v>
      </c>
      <c r="G642" s="30" t="s">
        <v>31</v>
      </c>
      <c r="H642" s="31" t="str">
        <f>IF(G642="","",VLOOKUP(G642,TemplateCode!$E$2:$G$700,2,FALSE))</f>
        <v>14015595</v>
      </c>
      <c r="I642" s="31" t="str">
        <f>IF(G642="","",VLOOKUP(G642,TemplateCode!$E$2:$G$700,3,FALSE))</f>
        <v>Ca đêm</v>
      </c>
    </row>
    <row r="643" spans="1:9" ht="15.75">
      <c r="A643" s="36">
        <v>43190403</v>
      </c>
      <c r="B643" s="33" t="s">
        <v>103</v>
      </c>
      <c r="C643" s="29" t="s">
        <v>120</v>
      </c>
      <c r="D643" s="30" t="s">
        <v>17</v>
      </c>
      <c r="E643" s="31" t="str">
        <f>IF(D643="","",VLOOKUP(D643,TemplateCode!$A$2:$C$999,2,FALSE))</f>
        <v>1440</v>
      </c>
      <c r="F643" s="31" t="str">
        <f>IF(D643="","",VLOOKUP(D643,TemplateCode!$A$2:$C$999,3,FALSE))</f>
        <v>Ngày thường</v>
      </c>
      <c r="G643" s="30" t="s">
        <v>31</v>
      </c>
      <c r="H643" s="31" t="str">
        <f>IF(G643="","",VLOOKUP(G643,TemplateCode!$E$2:$G$700,2,FALSE))</f>
        <v>14015595</v>
      </c>
      <c r="I643" s="31" t="str">
        <f>IF(G643="","",VLOOKUP(G643,TemplateCode!$E$2:$G$700,3,FALSE))</f>
        <v>Ca đêm</v>
      </c>
    </row>
    <row r="644" spans="1:9" ht="15.75">
      <c r="A644" s="34">
        <v>43190018</v>
      </c>
      <c r="B644" s="34" t="s">
        <v>104</v>
      </c>
      <c r="C644" s="29" t="s">
        <v>120</v>
      </c>
      <c r="D644" s="30" t="s">
        <v>17</v>
      </c>
      <c r="E644" s="31" t="str">
        <f>IF(D644="","",VLOOKUP(D644,TemplateCode!$A$2:$C$999,2,FALSE))</f>
        <v>1440</v>
      </c>
      <c r="F644" s="31" t="str">
        <f>IF(D644="","",VLOOKUP(D644,TemplateCode!$A$2:$C$999,3,FALSE))</f>
        <v>Ngày thường</v>
      </c>
      <c r="G644" s="30" t="s">
        <v>31</v>
      </c>
      <c r="H644" s="31" t="str">
        <f>IF(G644="","",VLOOKUP(G644,TemplateCode!$E$2:$G$700,2,FALSE))</f>
        <v>14015595</v>
      </c>
      <c r="I644" s="31" t="str">
        <f>IF(G644="","",VLOOKUP(G644,TemplateCode!$E$2:$G$700,3,FALSE))</f>
        <v>Ca đêm</v>
      </c>
    </row>
    <row r="645" spans="1:9" ht="15.75">
      <c r="A645" s="36">
        <v>43190460</v>
      </c>
      <c r="B645" s="33" t="s">
        <v>105</v>
      </c>
      <c r="C645" s="29" t="s">
        <v>120</v>
      </c>
      <c r="D645" s="30" t="s">
        <v>17</v>
      </c>
      <c r="E645" s="31" t="str">
        <f>IF(D645="","",VLOOKUP(D645,TemplateCode!$A$2:$C$999,2,FALSE))</f>
        <v>1440</v>
      </c>
      <c r="F645" s="31" t="str">
        <f>IF(D645="","",VLOOKUP(D645,TemplateCode!$A$2:$C$999,3,FALSE))</f>
        <v>Ngày thường</v>
      </c>
      <c r="G645" s="30" t="s">
        <v>31</v>
      </c>
      <c r="H645" s="31" t="str">
        <f>IF(G645="","",VLOOKUP(G645,TemplateCode!$E$2:$G$700,2,FALSE))</f>
        <v>14015595</v>
      </c>
      <c r="I645" s="31" t="str">
        <f>IF(G645="","",VLOOKUP(G645,TemplateCode!$E$2:$G$700,3,FALSE))</f>
        <v>Ca đêm</v>
      </c>
    </row>
    <row r="646" spans="1:9" ht="15.75">
      <c r="A646" s="27">
        <v>43181073</v>
      </c>
      <c r="B646" s="34" t="s">
        <v>106</v>
      </c>
      <c r="C646" s="29" t="s">
        <v>120</v>
      </c>
      <c r="D646" s="30" t="s">
        <v>17</v>
      </c>
      <c r="E646" s="31" t="str">
        <f>IF(D646="","",VLOOKUP(D646,TemplateCode!$A$2:$C$999,2,FALSE))</f>
        <v>1440</v>
      </c>
      <c r="F646" s="31" t="str">
        <f>IF(D646="","",VLOOKUP(D646,TemplateCode!$A$2:$C$999,3,FALSE))</f>
        <v>Ngày thường</v>
      </c>
      <c r="G646" s="30" t="s">
        <v>31</v>
      </c>
      <c r="H646" s="31" t="str">
        <f>IF(G646="","",VLOOKUP(G646,TemplateCode!$E$2:$G$700,2,FALSE))</f>
        <v>14015595</v>
      </c>
      <c r="I646" s="31" t="str">
        <f>IF(G646="","",VLOOKUP(G646,TemplateCode!$E$2:$G$700,3,FALSE))</f>
        <v>Ca đêm</v>
      </c>
    </row>
    <row r="647" spans="1:9" ht="15.75">
      <c r="A647" s="34">
        <v>43190445</v>
      </c>
      <c r="B647" s="34" t="s">
        <v>107</v>
      </c>
      <c r="C647" s="29" t="s">
        <v>120</v>
      </c>
      <c r="D647" s="30" t="s">
        <v>17</v>
      </c>
      <c r="E647" s="31" t="str">
        <f>IF(D647="","",VLOOKUP(D647,TemplateCode!$A$2:$C$999,2,FALSE))</f>
        <v>1440</v>
      </c>
      <c r="F647" s="31" t="str">
        <f>IF(D647="","",VLOOKUP(D647,TemplateCode!$A$2:$C$999,3,FALSE))</f>
        <v>Ngày thường</v>
      </c>
      <c r="G647" s="30" t="s">
        <v>31</v>
      </c>
      <c r="H647" s="31" t="str">
        <f>IF(G647="","",VLOOKUP(G647,TemplateCode!$E$2:$G$700,2,FALSE))</f>
        <v>14015595</v>
      </c>
      <c r="I647" s="31" t="str">
        <f>IF(G647="","",VLOOKUP(G647,TemplateCode!$E$2:$G$700,3,FALSE))</f>
        <v>Ca đêm</v>
      </c>
    </row>
    <row r="648" spans="1:9" ht="15.75">
      <c r="A648" s="34">
        <v>43190243</v>
      </c>
      <c r="B648" s="34" t="s">
        <v>108</v>
      </c>
      <c r="C648" s="29" t="s">
        <v>120</v>
      </c>
      <c r="D648" s="30" t="s">
        <v>17</v>
      </c>
      <c r="E648" s="31" t="str">
        <f>IF(D648="","",VLOOKUP(D648,TemplateCode!$A$2:$C$999,2,FALSE))</f>
        <v>1440</v>
      </c>
      <c r="F648" s="31" t="str">
        <f>IF(D648="","",VLOOKUP(D648,TemplateCode!$A$2:$C$999,3,FALSE))</f>
        <v>Ngày thường</v>
      </c>
      <c r="G648" s="30" t="s">
        <v>31</v>
      </c>
      <c r="H648" s="31" t="str">
        <f>IF(G648="","",VLOOKUP(G648,TemplateCode!$E$2:$G$700,2,FALSE))</f>
        <v>14015595</v>
      </c>
      <c r="I648" s="31" t="str">
        <f>IF(G648="","",VLOOKUP(G648,TemplateCode!$E$2:$G$700,3,FALSE))</f>
        <v>Ca đêm</v>
      </c>
    </row>
    <row r="649" spans="1:9" ht="15.75">
      <c r="A649" s="37">
        <v>43190805</v>
      </c>
      <c r="B649" s="37" t="s">
        <v>109</v>
      </c>
      <c r="C649" s="29" t="s">
        <v>120</v>
      </c>
      <c r="D649" s="30" t="s">
        <v>17</v>
      </c>
      <c r="E649" s="31" t="str">
        <f>IF(D649="","",VLOOKUP(D649,TemplateCode!$A$2:$C$999,2,FALSE))</f>
        <v>1440</v>
      </c>
      <c r="F649" s="31" t="str">
        <f>IF(D649="","",VLOOKUP(D649,TemplateCode!$A$2:$C$999,3,FALSE))</f>
        <v>Ngày thường</v>
      </c>
      <c r="G649" s="30" t="s">
        <v>31</v>
      </c>
      <c r="H649" s="31" t="str">
        <f>IF(G649="","",VLOOKUP(G649,TemplateCode!$E$2:$G$700,2,FALSE))</f>
        <v>14015595</v>
      </c>
      <c r="I649" s="31" t="str">
        <f>IF(G649="","",VLOOKUP(G649,TemplateCode!$E$2:$G$700,3,FALSE))</f>
        <v>Ca đêm</v>
      </c>
    </row>
  </sheetData>
  <conditionalFormatting sqref="A9">
    <cfRule type="duplicateValues" dxfId="2615" priority="2793"/>
  </conditionalFormatting>
  <conditionalFormatting sqref="A9">
    <cfRule type="duplicateValues" dxfId="2614" priority="2794"/>
    <cfRule type="duplicateValues" dxfId="2613" priority="2795"/>
  </conditionalFormatting>
  <conditionalFormatting sqref="A9">
    <cfRule type="duplicateValues" dxfId="2612" priority="2778"/>
  </conditionalFormatting>
  <conditionalFormatting sqref="A9">
    <cfRule type="duplicateValues" dxfId="2611" priority="2779"/>
    <cfRule type="duplicateValues" dxfId="2610" priority="2780"/>
  </conditionalFormatting>
  <conditionalFormatting sqref="A7:A8">
    <cfRule type="expression" priority="2789">
      <formula>$AL20&gt;=5</formula>
    </cfRule>
  </conditionalFormatting>
  <conditionalFormatting sqref="A7">
    <cfRule type="duplicateValues" dxfId="2609" priority="2790"/>
  </conditionalFormatting>
  <conditionalFormatting sqref="A7">
    <cfRule type="duplicateValues" dxfId="2608" priority="2791"/>
    <cfRule type="duplicateValues" dxfId="2607" priority="2792"/>
  </conditionalFormatting>
  <conditionalFormatting sqref="A8">
    <cfRule type="duplicateValues" dxfId="2606" priority="2786"/>
  </conditionalFormatting>
  <conditionalFormatting sqref="A8">
    <cfRule type="duplicateValues" dxfId="2605" priority="2787"/>
    <cfRule type="duplicateValues" dxfId="2604" priority="2788"/>
  </conditionalFormatting>
  <conditionalFormatting sqref="A20">
    <cfRule type="duplicateValues" dxfId="2603" priority="2782"/>
  </conditionalFormatting>
  <conditionalFormatting sqref="A20">
    <cfRule type="duplicateValues" dxfId="2602" priority="2783"/>
    <cfRule type="duplicateValues" dxfId="2601" priority="2784"/>
  </conditionalFormatting>
  <conditionalFormatting sqref="A20">
    <cfRule type="expression" priority="2785">
      <formula>#REF!&gt;=5</formula>
    </cfRule>
  </conditionalFormatting>
  <conditionalFormatting sqref="A21">
    <cfRule type="duplicateValues" dxfId="2600" priority="2781"/>
  </conditionalFormatting>
  <conditionalFormatting sqref="A9">
    <cfRule type="expression" priority="2777">
      <formula>#REF!&gt;=5</formula>
    </cfRule>
  </conditionalFormatting>
  <conditionalFormatting sqref="A19">
    <cfRule type="duplicateValues" dxfId="2599" priority="2773"/>
  </conditionalFormatting>
  <conditionalFormatting sqref="A19">
    <cfRule type="duplicateValues" dxfId="2598" priority="2774"/>
    <cfRule type="duplicateValues" dxfId="2597" priority="2775"/>
  </conditionalFormatting>
  <conditionalFormatting sqref="A19">
    <cfRule type="expression" priority="2776">
      <formula>#REF!&gt;=5</formula>
    </cfRule>
  </conditionalFormatting>
  <conditionalFormatting sqref="A6">
    <cfRule type="expression" priority="2769">
      <formula>$AL17&gt;=5</formula>
    </cfRule>
  </conditionalFormatting>
  <conditionalFormatting sqref="A6">
    <cfRule type="duplicateValues" dxfId="2596" priority="2770"/>
  </conditionalFormatting>
  <conditionalFormatting sqref="A6">
    <cfRule type="duplicateValues" dxfId="2595" priority="2771"/>
    <cfRule type="duplicateValues" dxfId="2594" priority="2772"/>
  </conditionalFormatting>
  <conditionalFormatting sqref="A9">
    <cfRule type="expression" priority="2768">
      <formula>#REF!&gt;=5</formula>
    </cfRule>
  </conditionalFormatting>
  <conditionalFormatting sqref="A7">
    <cfRule type="duplicateValues" dxfId="2593" priority="2764"/>
  </conditionalFormatting>
  <conditionalFormatting sqref="A7">
    <cfRule type="duplicateValues" dxfId="2592" priority="2765"/>
    <cfRule type="duplicateValues" dxfId="2591" priority="2766"/>
  </conditionalFormatting>
  <conditionalFormatting sqref="A7">
    <cfRule type="expression" priority="2767">
      <formula>#REF!&gt;=5</formula>
    </cfRule>
  </conditionalFormatting>
  <conditionalFormatting sqref="A22">
    <cfRule type="expression" priority="2760">
      <formula>$AH30&gt;=5</formula>
    </cfRule>
  </conditionalFormatting>
  <conditionalFormatting sqref="A22">
    <cfRule type="duplicateValues" dxfId="2590" priority="2761"/>
  </conditionalFormatting>
  <conditionalFormatting sqref="A22">
    <cfRule type="duplicateValues" dxfId="2589" priority="2762"/>
    <cfRule type="duplicateValues" dxfId="2588" priority="2763"/>
  </conditionalFormatting>
  <conditionalFormatting sqref="A23">
    <cfRule type="duplicateValues" dxfId="2587" priority="2759"/>
  </conditionalFormatting>
  <conditionalFormatting sqref="A20">
    <cfRule type="duplicateValues" dxfId="2586" priority="2758"/>
  </conditionalFormatting>
  <conditionalFormatting sqref="A21">
    <cfRule type="duplicateValues" dxfId="2585" priority="2755"/>
  </conditionalFormatting>
  <conditionalFormatting sqref="A21">
    <cfRule type="duplicateValues" dxfId="2584" priority="2756"/>
    <cfRule type="duplicateValues" dxfId="2583" priority="2757"/>
  </conditionalFormatting>
  <conditionalFormatting sqref="A22">
    <cfRule type="duplicateValues" dxfId="2582" priority="2754"/>
  </conditionalFormatting>
  <conditionalFormatting sqref="A23">
    <cfRule type="expression" priority="2750">
      <formula>$AH29&gt;=5</formula>
    </cfRule>
  </conditionalFormatting>
  <conditionalFormatting sqref="A23">
    <cfRule type="duplicateValues" dxfId="2581" priority="2751"/>
  </conditionalFormatting>
  <conditionalFormatting sqref="A23">
    <cfRule type="duplicateValues" dxfId="2580" priority="2752"/>
    <cfRule type="duplicateValues" dxfId="2579" priority="2753"/>
  </conditionalFormatting>
  <conditionalFormatting sqref="A24">
    <cfRule type="duplicateValues" dxfId="2578" priority="2749"/>
  </conditionalFormatting>
  <conditionalFormatting sqref="A21">
    <cfRule type="expression" priority="2796">
      <formula>#REF!&gt;=5</formula>
    </cfRule>
  </conditionalFormatting>
  <conditionalFormatting sqref="A29">
    <cfRule type="expression" priority="2745">
      <formula>$AI29&gt;=5</formula>
    </cfRule>
  </conditionalFormatting>
  <conditionalFormatting sqref="A29">
    <cfRule type="duplicateValues" dxfId="2577" priority="2746"/>
  </conditionalFormatting>
  <conditionalFormatting sqref="A29">
    <cfRule type="duplicateValues" dxfId="2576" priority="2747"/>
    <cfRule type="duplicateValues" dxfId="2575" priority="2748"/>
  </conditionalFormatting>
  <conditionalFormatting sqref="A51">
    <cfRule type="duplicateValues" dxfId="2411" priority="2581"/>
  </conditionalFormatting>
  <conditionalFormatting sqref="A31">
    <cfRule type="expression" priority="2577">
      <formula>$AH35&gt;=5</formula>
    </cfRule>
  </conditionalFormatting>
  <conditionalFormatting sqref="A31">
    <cfRule type="duplicateValues" dxfId="2410" priority="2578"/>
  </conditionalFormatting>
  <conditionalFormatting sqref="A31">
    <cfRule type="duplicateValues" dxfId="2409" priority="2579"/>
    <cfRule type="duplicateValues" dxfId="2408" priority="2580"/>
  </conditionalFormatting>
  <conditionalFormatting sqref="A37">
    <cfRule type="expression" priority="2573">
      <formula>$AL49&gt;=5</formula>
    </cfRule>
  </conditionalFormatting>
  <conditionalFormatting sqref="A37">
    <cfRule type="duplicateValues" dxfId="2407" priority="2574"/>
  </conditionalFormatting>
  <conditionalFormatting sqref="A37">
    <cfRule type="duplicateValues" dxfId="2406" priority="2575"/>
    <cfRule type="duplicateValues" dxfId="2405" priority="2576"/>
  </conditionalFormatting>
  <conditionalFormatting sqref="A48">
    <cfRule type="duplicateValues" dxfId="2404" priority="2569"/>
  </conditionalFormatting>
  <conditionalFormatting sqref="A48">
    <cfRule type="duplicateValues" dxfId="2403" priority="2570"/>
    <cfRule type="duplicateValues" dxfId="2402" priority="2571"/>
  </conditionalFormatting>
  <conditionalFormatting sqref="A48">
    <cfRule type="expression" priority="2572">
      <formula>#REF!&gt;=5</formula>
    </cfRule>
  </conditionalFormatting>
  <conditionalFormatting sqref="A49">
    <cfRule type="duplicateValues" dxfId="2401" priority="2568"/>
  </conditionalFormatting>
  <conditionalFormatting sqref="A50">
    <cfRule type="expression" priority="2564">
      <formula>#REF!&gt;=5</formula>
    </cfRule>
  </conditionalFormatting>
  <conditionalFormatting sqref="A50">
    <cfRule type="duplicateValues" dxfId="2400" priority="2565"/>
  </conditionalFormatting>
  <conditionalFormatting sqref="A50">
    <cfRule type="duplicateValues" dxfId="2399" priority="2566"/>
    <cfRule type="duplicateValues" dxfId="2398" priority="2567"/>
  </conditionalFormatting>
  <conditionalFormatting sqref="A63">
    <cfRule type="duplicateValues" dxfId="2397" priority="2560"/>
  </conditionalFormatting>
  <conditionalFormatting sqref="A63">
    <cfRule type="duplicateValues" dxfId="2396" priority="2561"/>
    <cfRule type="duplicateValues" dxfId="2395" priority="2562"/>
  </conditionalFormatting>
  <conditionalFormatting sqref="A63">
    <cfRule type="duplicateValues" dxfId="2394" priority="2545"/>
  </conditionalFormatting>
  <conditionalFormatting sqref="A63">
    <cfRule type="duplicateValues" dxfId="2393" priority="2546"/>
    <cfRule type="duplicateValues" dxfId="2392" priority="2547"/>
  </conditionalFormatting>
  <conditionalFormatting sqref="A61:A62">
    <cfRule type="expression" priority="2556">
      <formula>$AL74&gt;=5</formula>
    </cfRule>
  </conditionalFormatting>
  <conditionalFormatting sqref="A61">
    <cfRule type="duplicateValues" dxfId="2391" priority="2557"/>
  </conditionalFormatting>
  <conditionalFormatting sqref="A61">
    <cfRule type="duplicateValues" dxfId="2390" priority="2558"/>
    <cfRule type="duplicateValues" dxfId="2389" priority="2559"/>
  </conditionalFormatting>
  <conditionalFormatting sqref="A62">
    <cfRule type="duplicateValues" dxfId="2388" priority="2553"/>
  </conditionalFormatting>
  <conditionalFormatting sqref="A62">
    <cfRule type="duplicateValues" dxfId="2387" priority="2554"/>
    <cfRule type="duplicateValues" dxfId="2386" priority="2555"/>
  </conditionalFormatting>
  <conditionalFormatting sqref="A74">
    <cfRule type="duplicateValues" dxfId="2385" priority="2549"/>
  </conditionalFormatting>
  <conditionalFormatting sqref="A74">
    <cfRule type="duplicateValues" dxfId="2384" priority="2550"/>
    <cfRule type="duplicateValues" dxfId="2383" priority="2551"/>
  </conditionalFormatting>
  <conditionalFormatting sqref="A74">
    <cfRule type="expression" priority="2552">
      <formula>#REF!&gt;=5</formula>
    </cfRule>
  </conditionalFormatting>
  <conditionalFormatting sqref="A75">
    <cfRule type="duplicateValues" dxfId="2382" priority="2548"/>
  </conditionalFormatting>
  <conditionalFormatting sqref="A63">
    <cfRule type="expression" priority="2544">
      <formula>#REF!&gt;=5</formula>
    </cfRule>
  </conditionalFormatting>
  <conditionalFormatting sqref="A73">
    <cfRule type="duplicateValues" dxfId="2381" priority="2540"/>
  </conditionalFormatting>
  <conditionalFormatting sqref="A73">
    <cfRule type="duplicateValues" dxfId="2380" priority="2541"/>
    <cfRule type="duplicateValues" dxfId="2379" priority="2542"/>
  </conditionalFormatting>
  <conditionalFormatting sqref="A73">
    <cfRule type="expression" priority="2543">
      <formula>#REF!&gt;=5</formula>
    </cfRule>
  </conditionalFormatting>
  <conditionalFormatting sqref="A60">
    <cfRule type="expression" priority="2536">
      <formula>$AL71&gt;=5</formula>
    </cfRule>
  </conditionalFormatting>
  <conditionalFormatting sqref="A60">
    <cfRule type="duplicateValues" dxfId="2378" priority="2537"/>
  </conditionalFormatting>
  <conditionalFormatting sqref="A60">
    <cfRule type="duplicateValues" dxfId="2377" priority="2538"/>
    <cfRule type="duplicateValues" dxfId="2376" priority="2539"/>
  </conditionalFormatting>
  <conditionalFormatting sqref="A63">
    <cfRule type="expression" priority="2535">
      <formula>#REF!&gt;=5</formula>
    </cfRule>
  </conditionalFormatting>
  <conditionalFormatting sqref="A61">
    <cfRule type="duplicateValues" dxfId="2375" priority="2531"/>
  </conditionalFormatting>
  <conditionalFormatting sqref="A61">
    <cfRule type="duplicateValues" dxfId="2374" priority="2532"/>
    <cfRule type="duplicateValues" dxfId="2373" priority="2533"/>
  </conditionalFormatting>
  <conditionalFormatting sqref="A61">
    <cfRule type="expression" priority="2534">
      <formula>#REF!&gt;=5</formula>
    </cfRule>
  </conditionalFormatting>
  <conditionalFormatting sqref="A76">
    <cfRule type="expression" priority="2527">
      <formula>$AH84&gt;=5</formula>
    </cfRule>
  </conditionalFormatting>
  <conditionalFormatting sqref="A76">
    <cfRule type="duplicateValues" dxfId="2372" priority="2528"/>
  </conditionalFormatting>
  <conditionalFormatting sqref="A76">
    <cfRule type="duplicateValues" dxfId="2371" priority="2529"/>
    <cfRule type="duplicateValues" dxfId="2370" priority="2530"/>
  </conditionalFormatting>
  <conditionalFormatting sqref="A77">
    <cfRule type="duplicateValues" dxfId="2369" priority="2526"/>
  </conditionalFormatting>
  <conditionalFormatting sqref="A74">
    <cfRule type="duplicateValues" dxfId="2368" priority="2525"/>
  </conditionalFormatting>
  <conditionalFormatting sqref="A75">
    <cfRule type="duplicateValues" dxfId="2367" priority="2522"/>
  </conditionalFormatting>
  <conditionalFormatting sqref="A75">
    <cfRule type="duplicateValues" dxfId="2366" priority="2523"/>
    <cfRule type="duplicateValues" dxfId="2365" priority="2524"/>
  </conditionalFormatting>
  <conditionalFormatting sqref="A76">
    <cfRule type="duplicateValues" dxfId="2364" priority="2521"/>
  </conditionalFormatting>
  <conditionalFormatting sqref="A77">
    <cfRule type="expression" priority="2517">
      <formula>$AH83&gt;=5</formula>
    </cfRule>
  </conditionalFormatting>
  <conditionalFormatting sqref="A77">
    <cfRule type="duplicateValues" dxfId="2363" priority="2518"/>
  </conditionalFormatting>
  <conditionalFormatting sqref="A77">
    <cfRule type="duplicateValues" dxfId="2362" priority="2519"/>
    <cfRule type="duplicateValues" dxfId="2361" priority="2520"/>
  </conditionalFormatting>
  <conditionalFormatting sqref="A78">
    <cfRule type="duplicateValues" dxfId="2360" priority="2516"/>
  </conditionalFormatting>
  <conditionalFormatting sqref="A75">
    <cfRule type="expression" priority="2563">
      <formula>#REF!&gt;=5</formula>
    </cfRule>
  </conditionalFormatting>
  <conditionalFormatting sqref="A83">
    <cfRule type="expression" priority="2512">
      <formula>$AI83&gt;=5</formula>
    </cfRule>
  </conditionalFormatting>
  <conditionalFormatting sqref="A83">
    <cfRule type="duplicateValues" dxfId="2359" priority="2513"/>
  </conditionalFormatting>
  <conditionalFormatting sqref="A83">
    <cfRule type="duplicateValues" dxfId="2358" priority="2514"/>
    <cfRule type="duplicateValues" dxfId="2357" priority="2515"/>
  </conditionalFormatting>
  <conditionalFormatting sqref="A105">
    <cfRule type="duplicateValues" dxfId="2193" priority="2348"/>
  </conditionalFormatting>
  <conditionalFormatting sqref="A85">
    <cfRule type="expression" priority="2344">
      <formula>$AH89&gt;=5</formula>
    </cfRule>
  </conditionalFormatting>
  <conditionalFormatting sqref="A85">
    <cfRule type="duplicateValues" dxfId="2192" priority="2345"/>
  </conditionalFormatting>
  <conditionalFormatting sqref="A85">
    <cfRule type="duplicateValues" dxfId="2191" priority="2346"/>
    <cfRule type="duplicateValues" dxfId="2190" priority="2347"/>
  </conditionalFormatting>
  <conditionalFormatting sqref="A91">
    <cfRule type="expression" priority="2340">
      <formula>$AL103&gt;=5</formula>
    </cfRule>
  </conditionalFormatting>
  <conditionalFormatting sqref="A91">
    <cfRule type="duplicateValues" dxfId="2189" priority="2341"/>
  </conditionalFormatting>
  <conditionalFormatting sqref="A91">
    <cfRule type="duplicateValues" dxfId="2188" priority="2342"/>
    <cfRule type="duplicateValues" dxfId="2187" priority="2343"/>
  </conditionalFormatting>
  <conditionalFormatting sqref="A102">
    <cfRule type="duplicateValues" dxfId="2186" priority="2336"/>
  </conditionalFormatting>
  <conditionalFormatting sqref="A102">
    <cfRule type="duplicateValues" dxfId="2185" priority="2337"/>
    <cfRule type="duplicateValues" dxfId="2184" priority="2338"/>
  </conditionalFormatting>
  <conditionalFormatting sqref="A102">
    <cfRule type="expression" priority="2339">
      <formula>#REF!&gt;=5</formula>
    </cfRule>
  </conditionalFormatting>
  <conditionalFormatting sqref="A103">
    <cfRule type="duplicateValues" dxfId="2183" priority="2335"/>
  </conditionalFormatting>
  <conditionalFormatting sqref="A104">
    <cfRule type="expression" priority="2331">
      <formula>#REF!&gt;=5</formula>
    </cfRule>
  </conditionalFormatting>
  <conditionalFormatting sqref="A104">
    <cfRule type="duplicateValues" dxfId="2182" priority="2332"/>
  </conditionalFormatting>
  <conditionalFormatting sqref="A104">
    <cfRule type="duplicateValues" dxfId="2181" priority="2333"/>
    <cfRule type="duplicateValues" dxfId="2180" priority="2334"/>
  </conditionalFormatting>
  <conditionalFormatting sqref="A117">
    <cfRule type="duplicateValues" dxfId="2179" priority="2327"/>
  </conditionalFormatting>
  <conditionalFormatting sqref="A117">
    <cfRule type="duplicateValues" dxfId="2178" priority="2328"/>
    <cfRule type="duplicateValues" dxfId="2177" priority="2329"/>
  </conditionalFormatting>
  <conditionalFormatting sqref="A117">
    <cfRule type="duplicateValues" dxfId="2176" priority="2312"/>
  </conditionalFormatting>
  <conditionalFormatting sqref="A117">
    <cfRule type="duplicateValues" dxfId="2175" priority="2313"/>
    <cfRule type="duplicateValues" dxfId="2174" priority="2314"/>
  </conditionalFormatting>
  <conditionalFormatting sqref="A115:A116">
    <cfRule type="expression" priority="2323">
      <formula>$AL128&gt;=5</formula>
    </cfRule>
  </conditionalFormatting>
  <conditionalFormatting sqref="A115">
    <cfRule type="duplicateValues" dxfId="2173" priority="2324"/>
  </conditionalFormatting>
  <conditionalFormatting sqref="A115">
    <cfRule type="duplicateValues" dxfId="2172" priority="2325"/>
    <cfRule type="duplicateValues" dxfId="2171" priority="2326"/>
  </conditionalFormatting>
  <conditionalFormatting sqref="A116">
    <cfRule type="duplicateValues" dxfId="2170" priority="2320"/>
  </conditionalFormatting>
  <conditionalFormatting sqref="A116">
    <cfRule type="duplicateValues" dxfId="2169" priority="2321"/>
    <cfRule type="duplicateValues" dxfId="2168" priority="2322"/>
  </conditionalFormatting>
  <conditionalFormatting sqref="A128">
    <cfRule type="duplicateValues" dxfId="2167" priority="2316"/>
  </conditionalFormatting>
  <conditionalFormatting sqref="A128">
    <cfRule type="duplicateValues" dxfId="2166" priority="2317"/>
    <cfRule type="duplicateValues" dxfId="2165" priority="2318"/>
  </conditionalFormatting>
  <conditionalFormatting sqref="A128">
    <cfRule type="expression" priority="2319">
      <formula>#REF!&gt;=5</formula>
    </cfRule>
  </conditionalFormatting>
  <conditionalFormatting sqref="A129">
    <cfRule type="duplicateValues" dxfId="2164" priority="2315"/>
  </conditionalFormatting>
  <conditionalFormatting sqref="A117">
    <cfRule type="expression" priority="2311">
      <formula>#REF!&gt;=5</formula>
    </cfRule>
  </conditionalFormatting>
  <conditionalFormatting sqref="A127">
    <cfRule type="duplicateValues" dxfId="2163" priority="2307"/>
  </conditionalFormatting>
  <conditionalFormatting sqref="A127">
    <cfRule type="duplicateValues" dxfId="2162" priority="2308"/>
    <cfRule type="duplicateValues" dxfId="2161" priority="2309"/>
  </conditionalFormatting>
  <conditionalFormatting sqref="A127">
    <cfRule type="expression" priority="2310">
      <formula>#REF!&gt;=5</formula>
    </cfRule>
  </conditionalFormatting>
  <conditionalFormatting sqref="A114">
    <cfRule type="expression" priority="2303">
      <formula>$AL125&gt;=5</formula>
    </cfRule>
  </conditionalFormatting>
  <conditionalFormatting sqref="A114">
    <cfRule type="duplicateValues" dxfId="2160" priority="2304"/>
  </conditionalFormatting>
  <conditionalFormatting sqref="A114">
    <cfRule type="duplicateValues" dxfId="2159" priority="2305"/>
    <cfRule type="duplicateValues" dxfId="2158" priority="2306"/>
  </conditionalFormatting>
  <conditionalFormatting sqref="A117">
    <cfRule type="expression" priority="2302">
      <formula>#REF!&gt;=5</formula>
    </cfRule>
  </conditionalFormatting>
  <conditionalFormatting sqref="A115">
    <cfRule type="duplicateValues" dxfId="2157" priority="2298"/>
  </conditionalFormatting>
  <conditionalFormatting sqref="A115">
    <cfRule type="duplicateValues" dxfId="2156" priority="2299"/>
    <cfRule type="duplicateValues" dxfId="2155" priority="2300"/>
  </conditionalFormatting>
  <conditionalFormatting sqref="A115">
    <cfRule type="expression" priority="2301">
      <formula>#REF!&gt;=5</formula>
    </cfRule>
  </conditionalFormatting>
  <conditionalFormatting sqref="A130">
    <cfRule type="expression" priority="2294">
      <formula>$AH138&gt;=5</formula>
    </cfRule>
  </conditionalFormatting>
  <conditionalFormatting sqref="A130">
    <cfRule type="duplicateValues" dxfId="2154" priority="2295"/>
  </conditionalFormatting>
  <conditionalFormatting sqref="A130">
    <cfRule type="duplicateValues" dxfId="2153" priority="2296"/>
    <cfRule type="duplicateValues" dxfId="2152" priority="2297"/>
  </conditionalFormatting>
  <conditionalFormatting sqref="A131">
    <cfRule type="duplicateValues" dxfId="2151" priority="2293"/>
  </conditionalFormatting>
  <conditionalFormatting sqref="A128">
    <cfRule type="duplicateValues" dxfId="2150" priority="2292"/>
  </conditionalFormatting>
  <conditionalFormatting sqref="A129">
    <cfRule type="duplicateValues" dxfId="2149" priority="2289"/>
  </conditionalFormatting>
  <conditionalFormatting sqref="A129">
    <cfRule type="duplicateValues" dxfId="2148" priority="2290"/>
    <cfRule type="duplicateValues" dxfId="2147" priority="2291"/>
  </conditionalFormatting>
  <conditionalFormatting sqref="A130">
    <cfRule type="duplicateValues" dxfId="2146" priority="2288"/>
  </conditionalFormatting>
  <conditionalFormatting sqref="A131">
    <cfRule type="expression" priority="2284">
      <formula>$AH137&gt;=5</formula>
    </cfRule>
  </conditionalFormatting>
  <conditionalFormatting sqref="A131">
    <cfRule type="duplicateValues" dxfId="2145" priority="2285"/>
  </conditionalFormatting>
  <conditionalFormatting sqref="A131">
    <cfRule type="duplicateValues" dxfId="2144" priority="2286"/>
    <cfRule type="duplicateValues" dxfId="2143" priority="2287"/>
  </conditionalFormatting>
  <conditionalFormatting sqref="A132">
    <cfRule type="duplicateValues" dxfId="2142" priority="2283"/>
  </conditionalFormatting>
  <conditionalFormatting sqref="A129">
    <cfRule type="expression" priority="2330">
      <formula>#REF!&gt;=5</formula>
    </cfRule>
  </conditionalFormatting>
  <conditionalFormatting sqref="A137">
    <cfRule type="expression" priority="2279">
      <formula>$AI137&gt;=5</formula>
    </cfRule>
  </conditionalFormatting>
  <conditionalFormatting sqref="A137">
    <cfRule type="duplicateValues" dxfId="2141" priority="2280"/>
  </conditionalFormatting>
  <conditionalFormatting sqref="A137">
    <cfRule type="duplicateValues" dxfId="2140" priority="2281"/>
    <cfRule type="duplicateValues" dxfId="2139" priority="2282"/>
  </conditionalFormatting>
  <conditionalFormatting sqref="A159">
    <cfRule type="duplicateValues" dxfId="1975" priority="2115"/>
  </conditionalFormatting>
  <conditionalFormatting sqref="A139">
    <cfRule type="expression" priority="2111">
      <formula>$AH143&gt;=5</formula>
    </cfRule>
  </conditionalFormatting>
  <conditionalFormatting sqref="A139">
    <cfRule type="duplicateValues" dxfId="1974" priority="2112"/>
  </conditionalFormatting>
  <conditionalFormatting sqref="A139">
    <cfRule type="duplicateValues" dxfId="1973" priority="2113"/>
    <cfRule type="duplicateValues" dxfId="1972" priority="2114"/>
  </conditionalFormatting>
  <conditionalFormatting sqref="A145">
    <cfRule type="expression" priority="2107">
      <formula>$AL157&gt;=5</formula>
    </cfRule>
  </conditionalFormatting>
  <conditionalFormatting sqref="A145">
    <cfRule type="duplicateValues" dxfId="1971" priority="2108"/>
  </conditionalFormatting>
  <conditionalFormatting sqref="A145">
    <cfRule type="duplicateValues" dxfId="1970" priority="2109"/>
    <cfRule type="duplicateValues" dxfId="1969" priority="2110"/>
  </conditionalFormatting>
  <conditionalFormatting sqref="A156">
    <cfRule type="duplicateValues" dxfId="1968" priority="2103"/>
  </conditionalFormatting>
  <conditionalFormatting sqref="A156">
    <cfRule type="duplicateValues" dxfId="1967" priority="2104"/>
    <cfRule type="duplicateValues" dxfId="1966" priority="2105"/>
  </conditionalFormatting>
  <conditionalFormatting sqref="A156">
    <cfRule type="expression" priority="2106">
      <formula>#REF!&gt;=5</formula>
    </cfRule>
  </conditionalFormatting>
  <conditionalFormatting sqref="A157">
    <cfRule type="duplicateValues" dxfId="1965" priority="2102"/>
  </conditionalFormatting>
  <conditionalFormatting sqref="A158">
    <cfRule type="expression" priority="2098">
      <formula>#REF!&gt;=5</formula>
    </cfRule>
  </conditionalFormatting>
  <conditionalFormatting sqref="A158">
    <cfRule type="duplicateValues" dxfId="1964" priority="2099"/>
  </conditionalFormatting>
  <conditionalFormatting sqref="A158">
    <cfRule type="duplicateValues" dxfId="1963" priority="2100"/>
    <cfRule type="duplicateValues" dxfId="1962" priority="2101"/>
  </conditionalFormatting>
  <conditionalFormatting sqref="A171">
    <cfRule type="duplicateValues" dxfId="1961" priority="2094"/>
  </conditionalFormatting>
  <conditionalFormatting sqref="A171">
    <cfRule type="duplicateValues" dxfId="1960" priority="2095"/>
    <cfRule type="duplicateValues" dxfId="1959" priority="2096"/>
  </conditionalFormatting>
  <conditionalFormatting sqref="A171">
    <cfRule type="duplicateValues" dxfId="1958" priority="2079"/>
  </conditionalFormatting>
  <conditionalFormatting sqref="A171">
    <cfRule type="duplicateValues" dxfId="1957" priority="2080"/>
    <cfRule type="duplicateValues" dxfId="1956" priority="2081"/>
  </conditionalFormatting>
  <conditionalFormatting sqref="A169:A170">
    <cfRule type="expression" priority="2090">
      <formula>$AL182&gt;=5</formula>
    </cfRule>
  </conditionalFormatting>
  <conditionalFormatting sqref="A169">
    <cfRule type="duplicateValues" dxfId="1955" priority="2091"/>
  </conditionalFormatting>
  <conditionalFormatting sqref="A169">
    <cfRule type="duplicateValues" dxfId="1954" priority="2092"/>
    <cfRule type="duplicateValues" dxfId="1953" priority="2093"/>
  </conditionalFormatting>
  <conditionalFormatting sqref="A170">
    <cfRule type="duplicateValues" dxfId="1952" priority="2087"/>
  </conditionalFormatting>
  <conditionalFormatting sqref="A170">
    <cfRule type="duplicateValues" dxfId="1951" priority="2088"/>
    <cfRule type="duplicateValues" dxfId="1950" priority="2089"/>
  </conditionalFormatting>
  <conditionalFormatting sqref="A182">
    <cfRule type="duplicateValues" dxfId="1949" priority="2083"/>
  </conditionalFormatting>
  <conditionalFormatting sqref="A182">
    <cfRule type="duplicateValues" dxfId="1948" priority="2084"/>
    <cfRule type="duplicateValues" dxfId="1947" priority="2085"/>
  </conditionalFormatting>
  <conditionalFormatting sqref="A182">
    <cfRule type="expression" priority="2086">
      <formula>#REF!&gt;=5</formula>
    </cfRule>
  </conditionalFormatting>
  <conditionalFormatting sqref="A183">
    <cfRule type="duplicateValues" dxfId="1946" priority="2082"/>
  </conditionalFormatting>
  <conditionalFormatting sqref="A171">
    <cfRule type="expression" priority="2078">
      <formula>#REF!&gt;=5</formula>
    </cfRule>
  </conditionalFormatting>
  <conditionalFormatting sqref="A181">
    <cfRule type="duplicateValues" dxfId="1945" priority="2074"/>
  </conditionalFormatting>
  <conditionalFormatting sqref="A181">
    <cfRule type="duplicateValues" dxfId="1944" priority="2075"/>
    <cfRule type="duplicateValues" dxfId="1943" priority="2076"/>
  </conditionalFormatting>
  <conditionalFormatting sqref="A181">
    <cfRule type="expression" priority="2077">
      <formula>#REF!&gt;=5</formula>
    </cfRule>
  </conditionalFormatting>
  <conditionalFormatting sqref="A168">
    <cfRule type="expression" priority="2070">
      <formula>$AL179&gt;=5</formula>
    </cfRule>
  </conditionalFormatting>
  <conditionalFormatting sqref="A168">
    <cfRule type="duplicateValues" dxfId="1942" priority="2071"/>
  </conditionalFormatting>
  <conditionalFormatting sqref="A168">
    <cfRule type="duplicateValues" dxfId="1941" priority="2072"/>
    <cfRule type="duplicateValues" dxfId="1940" priority="2073"/>
  </conditionalFormatting>
  <conditionalFormatting sqref="A171">
    <cfRule type="expression" priority="2069">
      <formula>#REF!&gt;=5</formula>
    </cfRule>
  </conditionalFormatting>
  <conditionalFormatting sqref="A169">
    <cfRule type="duplicateValues" dxfId="1939" priority="2065"/>
  </conditionalFormatting>
  <conditionalFormatting sqref="A169">
    <cfRule type="duplicateValues" dxfId="1938" priority="2066"/>
    <cfRule type="duplicateValues" dxfId="1937" priority="2067"/>
  </conditionalFormatting>
  <conditionalFormatting sqref="A169">
    <cfRule type="expression" priority="2068">
      <formula>#REF!&gt;=5</formula>
    </cfRule>
  </conditionalFormatting>
  <conditionalFormatting sqref="A184">
    <cfRule type="expression" priority="2061">
      <formula>$AH192&gt;=5</formula>
    </cfRule>
  </conditionalFormatting>
  <conditionalFormatting sqref="A184">
    <cfRule type="duplicateValues" dxfId="1936" priority="2062"/>
  </conditionalFormatting>
  <conditionalFormatting sqref="A184">
    <cfRule type="duplicateValues" dxfId="1935" priority="2063"/>
    <cfRule type="duplicateValues" dxfId="1934" priority="2064"/>
  </conditionalFormatting>
  <conditionalFormatting sqref="A185">
    <cfRule type="duplicateValues" dxfId="1933" priority="2060"/>
  </conditionalFormatting>
  <conditionalFormatting sqref="A182">
    <cfRule type="duplicateValues" dxfId="1932" priority="2059"/>
  </conditionalFormatting>
  <conditionalFormatting sqref="A183">
    <cfRule type="duplicateValues" dxfId="1931" priority="2056"/>
  </conditionalFormatting>
  <conditionalFormatting sqref="A183">
    <cfRule type="duplicateValues" dxfId="1930" priority="2057"/>
    <cfRule type="duplicateValues" dxfId="1929" priority="2058"/>
  </conditionalFormatting>
  <conditionalFormatting sqref="A184">
    <cfRule type="duplicateValues" dxfId="1928" priority="2055"/>
  </conditionalFormatting>
  <conditionalFormatting sqref="A185">
    <cfRule type="expression" priority="2051">
      <formula>$AH191&gt;=5</formula>
    </cfRule>
  </conditionalFormatting>
  <conditionalFormatting sqref="A185">
    <cfRule type="duplicateValues" dxfId="1927" priority="2052"/>
  </conditionalFormatting>
  <conditionalFormatting sqref="A185">
    <cfRule type="duplicateValues" dxfId="1926" priority="2053"/>
    <cfRule type="duplicateValues" dxfId="1925" priority="2054"/>
  </conditionalFormatting>
  <conditionalFormatting sqref="A186">
    <cfRule type="duplicateValues" dxfId="1924" priority="2050"/>
  </conditionalFormatting>
  <conditionalFormatting sqref="A183">
    <cfRule type="expression" priority="2097">
      <formula>#REF!&gt;=5</formula>
    </cfRule>
  </conditionalFormatting>
  <conditionalFormatting sqref="A191">
    <cfRule type="expression" priority="2046">
      <formula>$AI191&gt;=5</formula>
    </cfRule>
  </conditionalFormatting>
  <conditionalFormatting sqref="A191">
    <cfRule type="duplicateValues" dxfId="1923" priority="2047"/>
  </conditionalFormatting>
  <conditionalFormatting sqref="A191">
    <cfRule type="duplicateValues" dxfId="1922" priority="2048"/>
    <cfRule type="duplicateValues" dxfId="1921" priority="2049"/>
  </conditionalFormatting>
  <conditionalFormatting sqref="A213">
    <cfRule type="duplicateValues" dxfId="1757" priority="1882"/>
  </conditionalFormatting>
  <conditionalFormatting sqref="A193">
    <cfRule type="expression" priority="1878">
      <formula>$AH197&gt;=5</formula>
    </cfRule>
  </conditionalFormatting>
  <conditionalFormatting sqref="A193">
    <cfRule type="duplicateValues" dxfId="1756" priority="1879"/>
  </conditionalFormatting>
  <conditionalFormatting sqref="A193">
    <cfRule type="duplicateValues" dxfId="1755" priority="1880"/>
    <cfRule type="duplicateValues" dxfId="1754" priority="1881"/>
  </conditionalFormatting>
  <conditionalFormatting sqref="A199">
    <cfRule type="expression" priority="1874">
      <formula>$AL211&gt;=5</formula>
    </cfRule>
  </conditionalFormatting>
  <conditionalFormatting sqref="A199">
    <cfRule type="duplicateValues" dxfId="1753" priority="1875"/>
  </conditionalFormatting>
  <conditionalFormatting sqref="A199">
    <cfRule type="duplicateValues" dxfId="1752" priority="1876"/>
    <cfRule type="duplicateValues" dxfId="1751" priority="1877"/>
  </conditionalFormatting>
  <conditionalFormatting sqref="A210">
    <cfRule type="duplicateValues" dxfId="1750" priority="1870"/>
  </conditionalFormatting>
  <conditionalFormatting sqref="A210">
    <cfRule type="duplicateValues" dxfId="1749" priority="1871"/>
    <cfRule type="duplicateValues" dxfId="1748" priority="1872"/>
  </conditionalFormatting>
  <conditionalFormatting sqref="A210">
    <cfRule type="expression" priority="1873">
      <formula>#REF!&gt;=5</formula>
    </cfRule>
  </conditionalFormatting>
  <conditionalFormatting sqref="A211">
    <cfRule type="duplicateValues" dxfId="1747" priority="1869"/>
  </conditionalFormatting>
  <conditionalFormatting sqref="A212">
    <cfRule type="expression" priority="1865">
      <formula>#REF!&gt;=5</formula>
    </cfRule>
  </conditionalFormatting>
  <conditionalFormatting sqref="A212">
    <cfRule type="duplicateValues" dxfId="1746" priority="1866"/>
  </conditionalFormatting>
  <conditionalFormatting sqref="A212">
    <cfRule type="duplicateValues" dxfId="1745" priority="1867"/>
    <cfRule type="duplicateValues" dxfId="1744" priority="1868"/>
  </conditionalFormatting>
  <conditionalFormatting sqref="A225">
    <cfRule type="duplicateValues" dxfId="1743" priority="1861"/>
  </conditionalFormatting>
  <conditionalFormatting sqref="A225">
    <cfRule type="duplicateValues" dxfId="1742" priority="1862"/>
    <cfRule type="duplicateValues" dxfId="1741" priority="1863"/>
  </conditionalFormatting>
  <conditionalFormatting sqref="A225">
    <cfRule type="duplicateValues" dxfId="1740" priority="1846"/>
  </conditionalFormatting>
  <conditionalFormatting sqref="A225">
    <cfRule type="duplicateValues" dxfId="1739" priority="1847"/>
    <cfRule type="duplicateValues" dxfId="1738" priority="1848"/>
  </conditionalFormatting>
  <conditionalFormatting sqref="A223:A224">
    <cfRule type="expression" priority="1857">
      <formula>$AL236&gt;=5</formula>
    </cfRule>
  </conditionalFormatting>
  <conditionalFormatting sqref="A223">
    <cfRule type="duplicateValues" dxfId="1737" priority="1858"/>
  </conditionalFormatting>
  <conditionalFormatting sqref="A223">
    <cfRule type="duplicateValues" dxfId="1736" priority="1859"/>
    <cfRule type="duplicateValues" dxfId="1735" priority="1860"/>
  </conditionalFormatting>
  <conditionalFormatting sqref="A224">
    <cfRule type="duplicateValues" dxfId="1734" priority="1854"/>
  </conditionalFormatting>
  <conditionalFormatting sqref="A224">
    <cfRule type="duplicateValues" dxfId="1733" priority="1855"/>
    <cfRule type="duplicateValues" dxfId="1732" priority="1856"/>
  </conditionalFormatting>
  <conditionalFormatting sqref="A236">
    <cfRule type="duplicateValues" dxfId="1731" priority="1850"/>
  </conditionalFormatting>
  <conditionalFormatting sqref="A236">
    <cfRule type="duplicateValues" dxfId="1730" priority="1851"/>
    <cfRule type="duplicateValues" dxfId="1729" priority="1852"/>
  </conditionalFormatting>
  <conditionalFormatting sqref="A236">
    <cfRule type="expression" priority="1853">
      <formula>#REF!&gt;=5</formula>
    </cfRule>
  </conditionalFormatting>
  <conditionalFormatting sqref="A237">
    <cfRule type="duplicateValues" dxfId="1728" priority="1849"/>
  </conditionalFormatting>
  <conditionalFormatting sqref="A225">
    <cfRule type="expression" priority="1845">
      <formula>#REF!&gt;=5</formula>
    </cfRule>
  </conditionalFormatting>
  <conditionalFormatting sqref="A235">
    <cfRule type="duplicateValues" dxfId="1727" priority="1841"/>
  </conditionalFormatting>
  <conditionalFormatting sqref="A235">
    <cfRule type="duplicateValues" dxfId="1726" priority="1842"/>
    <cfRule type="duplicateValues" dxfId="1725" priority="1843"/>
  </conditionalFormatting>
  <conditionalFormatting sqref="A235">
    <cfRule type="expression" priority="1844">
      <formula>#REF!&gt;=5</formula>
    </cfRule>
  </conditionalFormatting>
  <conditionalFormatting sqref="A222">
    <cfRule type="expression" priority="1837">
      <formula>$AL233&gt;=5</formula>
    </cfRule>
  </conditionalFormatting>
  <conditionalFormatting sqref="A222">
    <cfRule type="duplicateValues" dxfId="1724" priority="1838"/>
  </conditionalFormatting>
  <conditionalFormatting sqref="A222">
    <cfRule type="duplicateValues" dxfId="1723" priority="1839"/>
    <cfRule type="duplicateValues" dxfId="1722" priority="1840"/>
  </conditionalFormatting>
  <conditionalFormatting sqref="A225">
    <cfRule type="expression" priority="1836">
      <formula>#REF!&gt;=5</formula>
    </cfRule>
  </conditionalFormatting>
  <conditionalFormatting sqref="A223">
    <cfRule type="duplicateValues" dxfId="1721" priority="1832"/>
  </conditionalFormatting>
  <conditionalFormatting sqref="A223">
    <cfRule type="duplicateValues" dxfId="1720" priority="1833"/>
    <cfRule type="duplicateValues" dxfId="1719" priority="1834"/>
  </conditionalFormatting>
  <conditionalFormatting sqref="A223">
    <cfRule type="expression" priority="1835">
      <formula>#REF!&gt;=5</formula>
    </cfRule>
  </conditionalFormatting>
  <conditionalFormatting sqref="A238">
    <cfRule type="expression" priority="1828">
      <formula>$AH246&gt;=5</formula>
    </cfRule>
  </conditionalFormatting>
  <conditionalFormatting sqref="A238">
    <cfRule type="duplicateValues" dxfId="1718" priority="1829"/>
  </conditionalFormatting>
  <conditionalFormatting sqref="A238">
    <cfRule type="duplicateValues" dxfId="1717" priority="1830"/>
    <cfRule type="duplicateValues" dxfId="1716" priority="1831"/>
  </conditionalFormatting>
  <conditionalFormatting sqref="A239">
    <cfRule type="duplicateValues" dxfId="1715" priority="1827"/>
  </conditionalFormatting>
  <conditionalFormatting sqref="A236">
    <cfRule type="duplicateValues" dxfId="1714" priority="1826"/>
  </conditionalFormatting>
  <conditionalFormatting sqref="A237">
    <cfRule type="duplicateValues" dxfId="1713" priority="1823"/>
  </conditionalFormatting>
  <conditionalFormatting sqref="A237">
    <cfRule type="duplicateValues" dxfId="1712" priority="1824"/>
    <cfRule type="duplicateValues" dxfId="1711" priority="1825"/>
  </conditionalFormatting>
  <conditionalFormatting sqref="A238">
    <cfRule type="duplicateValues" dxfId="1710" priority="1822"/>
  </conditionalFormatting>
  <conditionalFormatting sqref="A239">
    <cfRule type="expression" priority="1818">
      <formula>$AH245&gt;=5</formula>
    </cfRule>
  </conditionalFormatting>
  <conditionalFormatting sqref="A239">
    <cfRule type="duplicateValues" dxfId="1709" priority="1819"/>
  </conditionalFormatting>
  <conditionalFormatting sqref="A239">
    <cfRule type="duplicateValues" dxfId="1708" priority="1820"/>
    <cfRule type="duplicateValues" dxfId="1707" priority="1821"/>
  </conditionalFormatting>
  <conditionalFormatting sqref="A240">
    <cfRule type="duplicateValues" dxfId="1706" priority="1817"/>
  </conditionalFormatting>
  <conditionalFormatting sqref="A237">
    <cfRule type="expression" priority="1864">
      <formula>#REF!&gt;=5</formula>
    </cfRule>
  </conditionalFormatting>
  <conditionalFormatting sqref="A245">
    <cfRule type="expression" priority="1813">
      <formula>$AI245&gt;=5</formula>
    </cfRule>
  </conditionalFormatting>
  <conditionalFormatting sqref="A245">
    <cfRule type="duplicateValues" dxfId="1705" priority="1814"/>
  </conditionalFormatting>
  <conditionalFormatting sqref="A245">
    <cfRule type="duplicateValues" dxfId="1704" priority="1815"/>
    <cfRule type="duplicateValues" dxfId="1703" priority="1816"/>
  </conditionalFormatting>
  <conditionalFormatting sqref="A267">
    <cfRule type="duplicateValues" dxfId="1539" priority="1649"/>
  </conditionalFormatting>
  <conditionalFormatting sqref="A247">
    <cfRule type="expression" priority="1645">
      <formula>$AH251&gt;=5</formula>
    </cfRule>
  </conditionalFormatting>
  <conditionalFormatting sqref="A247">
    <cfRule type="duplicateValues" dxfId="1538" priority="1646"/>
  </conditionalFormatting>
  <conditionalFormatting sqref="A247">
    <cfRule type="duplicateValues" dxfId="1537" priority="1647"/>
    <cfRule type="duplicateValues" dxfId="1536" priority="1648"/>
  </conditionalFormatting>
  <conditionalFormatting sqref="A253">
    <cfRule type="expression" priority="1641">
      <formula>$AL265&gt;=5</formula>
    </cfRule>
  </conditionalFormatting>
  <conditionalFormatting sqref="A253">
    <cfRule type="duplicateValues" dxfId="1535" priority="1642"/>
  </conditionalFormatting>
  <conditionalFormatting sqref="A253">
    <cfRule type="duplicateValues" dxfId="1534" priority="1643"/>
    <cfRule type="duplicateValues" dxfId="1533" priority="1644"/>
  </conditionalFormatting>
  <conditionalFormatting sqref="A264">
    <cfRule type="duplicateValues" dxfId="1532" priority="1637"/>
  </conditionalFormatting>
  <conditionalFormatting sqref="A264">
    <cfRule type="duplicateValues" dxfId="1531" priority="1638"/>
    <cfRule type="duplicateValues" dxfId="1530" priority="1639"/>
  </conditionalFormatting>
  <conditionalFormatting sqref="A264">
    <cfRule type="expression" priority="1640">
      <formula>#REF!&gt;=5</formula>
    </cfRule>
  </conditionalFormatting>
  <conditionalFormatting sqref="A265">
    <cfRule type="duplicateValues" dxfId="1529" priority="1636"/>
  </conditionalFormatting>
  <conditionalFormatting sqref="A266">
    <cfRule type="expression" priority="1632">
      <formula>#REF!&gt;=5</formula>
    </cfRule>
  </conditionalFormatting>
  <conditionalFormatting sqref="A266">
    <cfRule type="duplicateValues" dxfId="1528" priority="1633"/>
  </conditionalFormatting>
  <conditionalFormatting sqref="A266">
    <cfRule type="duplicateValues" dxfId="1527" priority="1634"/>
    <cfRule type="duplicateValues" dxfId="1526" priority="1635"/>
  </conditionalFormatting>
  <conditionalFormatting sqref="A279">
    <cfRule type="duplicateValues" dxfId="1525" priority="1628"/>
  </conditionalFormatting>
  <conditionalFormatting sqref="A279">
    <cfRule type="duplicateValues" dxfId="1524" priority="1629"/>
    <cfRule type="duplicateValues" dxfId="1523" priority="1630"/>
  </conditionalFormatting>
  <conditionalFormatting sqref="A279">
    <cfRule type="duplicateValues" dxfId="1522" priority="1613"/>
  </conditionalFormatting>
  <conditionalFormatting sqref="A279">
    <cfRule type="duplicateValues" dxfId="1521" priority="1614"/>
    <cfRule type="duplicateValues" dxfId="1520" priority="1615"/>
  </conditionalFormatting>
  <conditionalFormatting sqref="A277:A278">
    <cfRule type="expression" priority="1624">
      <formula>$AL290&gt;=5</formula>
    </cfRule>
  </conditionalFormatting>
  <conditionalFormatting sqref="A277">
    <cfRule type="duplicateValues" dxfId="1519" priority="1625"/>
  </conditionalFormatting>
  <conditionalFormatting sqref="A277">
    <cfRule type="duplicateValues" dxfId="1518" priority="1626"/>
    <cfRule type="duplicateValues" dxfId="1517" priority="1627"/>
  </conditionalFormatting>
  <conditionalFormatting sqref="A278">
    <cfRule type="duplicateValues" dxfId="1516" priority="1621"/>
  </conditionalFormatting>
  <conditionalFormatting sqref="A278">
    <cfRule type="duplicateValues" dxfId="1515" priority="1622"/>
    <cfRule type="duplicateValues" dxfId="1514" priority="1623"/>
  </conditionalFormatting>
  <conditionalFormatting sqref="A290">
    <cfRule type="duplicateValues" dxfId="1513" priority="1617"/>
  </conditionalFormatting>
  <conditionalFormatting sqref="A290">
    <cfRule type="duplicateValues" dxfId="1512" priority="1618"/>
    <cfRule type="duplicateValues" dxfId="1511" priority="1619"/>
  </conditionalFormatting>
  <conditionalFormatting sqref="A290">
    <cfRule type="expression" priority="1620">
      <formula>#REF!&gt;=5</formula>
    </cfRule>
  </conditionalFormatting>
  <conditionalFormatting sqref="A291">
    <cfRule type="duplicateValues" dxfId="1510" priority="1616"/>
  </conditionalFormatting>
  <conditionalFormatting sqref="A279">
    <cfRule type="expression" priority="1612">
      <formula>#REF!&gt;=5</formula>
    </cfRule>
  </conditionalFormatting>
  <conditionalFormatting sqref="A289">
    <cfRule type="duplicateValues" dxfId="1509" priority="1608"/>
  </conditionalFormatting>
  <conditionalFormatting sqref="A289">
    <cfRule type="duplicateValues" dxfId="1508" priority="1609"/>
    <cfRule type="duplicateValues" dxfId="1507" priority="1610"/>
  </conditionalFormatting>
  <conditionalFormatting sqref="A289">
    <cfRule type="expression" priority="1611">
      <formula>#REF!&gt;=5</formula>
    </cfRule>
  </conditionalFormatting>
  <conditionalFormatting sqref="A276">
    <cfRule type="expression" priority="1604">
      <formula>$AL287&gt;=5</formula>
    </cfRule>
  </conditionalFormatting>
  <conditionalFormatting sqref="A276">
    <cfRule type="duplicateValues" dxfId="1506" priority="1605"/>
  </conditionalFormatting>
  <conditionalFormatting sqref="A276">
    <cfRule type="duplicateValues" dxfId="1505" priority="1606"/>
    <cfRule type="duplicateValues" dxfId="1504" priority="1607"/>
  </conditionalFormatting>
  <conditionalFormatting sqref="A279">
    <cfRule type="expression" priority="1603">
      <formula>#REF!&gt;=5</formula>
    </cfRule>
  </conditionalFormatting>
  <conditionalFormatting sqref="A277">
    <cfRule type="duplicateValues" dxfId="1503" priority="1599"/>
  </conditionalFormatting>
  <conditionalFormatting sqref="A277">
    <cfRule type="duplicateValues" dxfId="1502" priority="1600"/>
    <cfRule type="duplicateValues" dxfId="1501" priority="1601"/>
  </conditionalFormatting>
  <conditionalFormatting sqref="A277">
    <cfRule type="expression" priority="1602">
      <formula>#REF!&gt;=5</formula>
    </cfRule>
  </conditionalFormatting>
  <conditionalFormatting sqref="A292">
    <cfRule type="expression" priority="1595">
      <formula>$AH300&gt;=5</formula>
    </cfRule>
  </conditionalFormatting>
  <conditionalFormatting sqref="A292">
    <cfRule type="duplicateValues" dxfId="1500" priority="1596"/>
  </conditionalFormatting>
  <conditionalFormatting sqref="A292">
    <cfRule type="duplicateValues" dxfId="1499" priority="1597"/>
    <cfRule type="duplicateValues" dxfId="1498" priority="1598"/>
  </conditionalFormatting>
  <conditionalFormatting sqref="A293">
    <cfRule type="duplicateValues" dxfId="1497" priority="1594"/>
  </conditionalFormatting>
  <conditionalFormatting sqref="A290">
    <cfRule type="duplicateValues" dxfId="1496" priority="1593"/>
  </conditionalFormatting>
  <conditionalFormatting sqref="A291">
    <cfRule type="duplicateValues" dxfId="1495" priority="1590"/>
  </conditionalFormatting>
  <conditionalFormatting sqref="A291">
    <cfRule type="duplicateValues" dxfId="1494" priority="1591"/>
    <cfRule type="duplicateValues" dxfId="1493" priority="1592"/>
  </conditionalFormatting>
  <conditionalFormatting sqref="A292">
    <cfRule type="duplicateValues" dxfId="1492" priority="1589"/>
  </conditionalFormatting>
  <conditionalFormatting sqref="A293">
    <cfRule type="expression" priority="1585">
      <formula>$AH299&gt;=5</formula>
    </cfRule>
  </conditionalFormatting>
  <conditionalFormatting sqref="A293">
    <cfRule type="duplicateValues" dxfId="1491" priority="1586"/>
  </conditionalFormatting>
  <conditionalFormatting sqref="A293">
    <cfRule type="duplicateValues" dxfId="1490" priority="1587"/>
    <cfRule type="duplicateValues" dxfId="1489" priority="1588"/>
  </conditionalFormatting>
  <conditionalFormatting sqref="A294">
    <cfRule type="duplicateValues" dxfId="1488" priority="1584"/>
  </conditionalFormatting>
  <conditionalFormatting sqref="A291">
    <cfRule type="expression" priority="1631">
      <formula>#REF!&gt;=5</formula>
    </cfRule>
  </conditionalFormatting>
  <conditionalFormatting sqref="A299">
    <cfRule type="expression" priority="1580">
      <formula>$AI299&gt;=5</formula>
    </cfRule>
  </conditionalFormatting>
  <conditionalFormatting sqref="A299">
    <cfRule type="duplicateValues" dxfId="1487" priority="1581"/>
  </conditionalFormatting>
  <conditionalFormatting sqref="A299">
    <cfRule type="duplicateValues" dxfId="1486" priority="1582"/>
    <cfRule type="duplicateValues" dxfId="1485" priority="1583"/>
  </conditionalFormatting>
  <conditionalFormatting sqref="A321">
    <cfRule type="duplicateValues" dxfId="1321" priority="1416"/>
  </conditionalFormatting>
  <conditionalFormatting sqref="A301">
    <cfRule type="expression" priority="1412">
      <formula>$AH305&gt;=5</formula>
    </cfRule>
  </conditionalFormatting>
  <conditionalFormatting sqref="A301">
    <cfRule type="duplicateValues" dxfId="1320" priority="1413"/>
  </conditionalFormatting>
  <conditionalFormatting sqref="A301">
    <cfRule type="duplicateValues" dxfId="1319" priority="1414"/>
    <cfRule type="duplicateValues" dxfId="1318" priority="1415"/>
  </conditionalFormatting>
  <conditionalFormatting sqref="A307">
    <cfRule type="expression" priority="1408">
      <formula>$AL319&gt;=5</formula>
    </cfRule>
  </conditionalFormatting>
  <conditionalFormatting sqref="A307">
    <cfRule type="duplicateValues" dxfId="1317" priority="1409"/>
  </conditionalFormatting>
  <conditionalFormatting sqref="A307">
    <cfRule type="duplicateValues" dxfId="1316" priority="1410"/>
    <cfRule type="duplicateValues" dxfId="1315" priority="1411"/>
  </conditionalFormatting>
  <conditionalFormatting sqref="A318">
    <cfRule type="duplicateValues" dxfId="1314" priority="1404"/>
  </conditionalFormatting>
  <conditionalFormatting sqref="A318">
    <cfRule type="duplicateValues" dxfId="1313" priority="1405"/>
    <cfRule type="duplicateValues" dxfId="1312" priority="1406"/>
  </conditionalFormatting>
  <conditionalFormatting sqref="A318">
    <cfRule type="expression" priority="1407">
      <formula>#REF!&gt;=5</formula>
    </cfRule>
  </conditionalFormatting>
  <conditionalFormatting sqref="A319">
    <cfRule type="duplicateValues" dxfId="1311" priority="1403"/>
  </conditionalFormatting>
  <conditionalFormatting sqref="A320">
    <cfRule type="expression" priority="1399">
      <formula>#REF!&gt;=5</formula>
    </cfRule>
  </conditionalFormatting>
  <conditionalFormatting sqref="A320">
    <cfRule type="duplicateValues" dxfId="1310" priority="1400"/>
  </conditionalFormatting>
  <conditionalFormatting sqref="A320">
    <cfRule type="duplicateValues" dxfId="1309" priority="1401"/>
    <cfRule type="duplicateValues" dxfId="1308" priority="1402"/>
  </conditionalFormatting>
  <conditionalFormatting sqref="A333">
    <cfRule type="duplicateValues" dxfId="1307" priority="1395"/>
  </conditionalFormatting>
  <conditionalFormatting sqref="A333">
    <cfRule type="duplicateValues" dxfId="1306" priority="1396"/>
    <cfRule type="duplicateValues" dxfId="1305" priority="1397"/>
  </conditionalFormatting>
  <conditionalFormatting sqref="A333">
    <cfRule type="duplicateValues" dxfId="1304" priority="1380"/>
  </conditionalFormatting>
  <conditionalFormatting sqref="A333">
    <cfRule type="duplicateValues" dxfId="1303" priority="1381"/>
    <cfRule type="duplicateValues" dxfId="1302" priority="1382"/>
  </conditionalFormatting>
  <conditionalFormatting sqref="A331:A332">
    <cfRule type="expression" priority="1391">
      <formula>$AL344&gt;=5</formula>
    </cfRule>
  </conditionalFormatting>
  <conditionalFormatting sqref="A331">
    <cfRule type="duplicateValues" dxfId="1301" priority="1392"/>
  </conditionalFormatting>
  <conditionalFormatting sqref="A331">
    <cfRule type="duplicateValues" dxfId="1300" priority="1393"/>
    <cfRule type="duplicateValues" dxfId="1299" priority="1394"/>
  </conditionalFormatting>
  <conditionalFormatting sqref="A332">
    <cfRule type="duplicateValues" dxfId="1298" priority="1388"/>
  </conditionalFormatting>
  <conditionalFormatting sqref="A332">
    <cfRule type="duplicateValues" dxfId="1297" priority="1389"/>
    <cfRule type="duplicateValues" dxfId="1296" priority="1390"/>
  </conditionalFormatting>
  <conditionalFormatting sqref="A344">
    <cfRule type="duplicateValues" dxfId="1295" priority="1384"/>
  </conditionalFormatting>
  <conditionalFormatting sqref="A344">
    <cfRule type="duplicateValues" dxfId="1294" priority="1385"/>
    <cfRule type="duplicateValues" dxfId="1293" priority="1386"/>
  </conditionalFormatting>
  <conditionalFormatting sqref="A344">
    <cfRule type="expression" priority="1387">
      <formula>#REF!&gt;=5</formula>
    </cfRule>
  </conditionalFormatting>
  <conditionalFormatting sqref="A345">
    <cfRule type="duplicateValues" dxfId="1292" priority="1383"/>
  </conditionalFormatting>
  <conditionalFormatting sqref="A333">
    <cfRule type="expression" priority="1379">
      <formula>#REF!&gt;=5</formula>
    </cfRule>
  </conditionalFormatting>
  <conditionalFormatting sqref="A343">
    <cfRule type="duplicateValues" dxfId="1291" priority="1375"/>
  </conditionalFormatting>
  <conditionalFormatting sqref="A343">
    <cfRule type="duplicateValues" dxfId="1290" priority="1376"/>
    <cfRule type="duplicateValues" dxfId="1289" priority="1377"/>
  </conditionalFormatting>
  <conditionalFormatting sqref="A343">
    <cfRule type="expression" priority="1378">
      <formula>#REF!&gt;=5</formula>
    </cfRule>
  </conditionalFormatting>
  <conditionalFormatting sqref="A330">
    <cfRule type="expression" priority="1371">
      <formula>$AL341&gt;=5</formula>
    </cfRule>
  </conditionalFormatting>
  <conditionalFormatting sqref="A330">
    <cfRule type="duplicateValues" dxfId="1288" priority="1372"/>
  </conditionalFormatting>
  <conditionalFormatting sqref="A330">
    <cfRule type="duplicateValues" dxfId="1287" priority="1373"/>
    <cfRule type="duplicateValues" dxfId="1286" priority="1374"/>
  </conditionalFormatting>
  <conditionalFormatting sqref="A333">
    <cfRule type="expression" priority="1370">
      <formula>#REF!&gt;=5</formula>
    </cfRule>
  </conditionalFormatting>
  <conditionalFormatting sqref="A331">
    <cfRule type="duplicateValues" dxfId="1285" priority="1366"/>
  </conditionalFormatting>
  <conditionalFormatting sqref="A331">
    <cfRule type="duplicateValues" dxfId="1284" priority="1367"/>
    <cfRule type="duplicateValues" dxfId="1283" priority="1368"/>
  </conditionalFormatting>
  <conditionalFormatting sqref="A331">
    <cfRule type="expression" priority="1369">
      <formula>#REF!&gt;=5</formula>
    </cfRule>
  </conditionalFormatting>
  <conditionalFormatting sqref="A346">
    <cfRule type="expression" priority="1362">
      <formula>$AH354&gt;=5</formula>
    </cfRule>
  </conditionalFormatting>
  <conditionalFormatting sqref="A346">
    <cfRule type="duplicateValues" dxfId="1282" priority="1363"/>
  </conditionalFormatting>
  <conditionalFormatting sqref="A346">
    <cfRule type="duplicateValues" dxfId="1281" priority="1364"/>
    <cfRule type="duplicateValues" dxfId="1280" priority="1365"/>
  </conditionalFormatting>
  <conditionalFormatting sqref="A347">
    <cfRule type="duplicateValues" dxfId="1279" priority="1361"/>
  </conditionalFormatting>
  <conditionalFormatting sqref="A344">
    <cfRule type="duplicateValues" dxfId="1278" priority="1360"/>
  </conditionalFormatting>
  <conditionalFormatting sqref="A345">
    <cfRule type="duplicateValues" dxfId="1277" priority="1357"/>
  </conditionalFormatting>
  <conditionalFormatting sqref="A345">
    <cfRule type="duplicateValues" dxfId="1276" priority="1358"/>
    <cfRule type="duplicateValues" dxfId="1275" priority="1359"/>
  </conditionalFormatting>
  <conditionalFormatting sqref="A346">
    <cfRule type="duplicateValues" dxfId="1274" priority="1356"/>
  </conditionalFormatting>
  <conditionalFormatting sqref="A347">
    <cfRule type="expression" priority="1352">
      <formula>$AH353&gt;=5</formula>
    </cfRule>
  </conditionalFormatting>
  <conditionalFormatting sqref="A347">
    <cfRule type="duplicateValues" dxfId="1273" priority="1353"/>
  </conditionalFormatting>
  <conditionalFormatting sqref="A347">
    <cfRule type="duplicateValues" dxfId="1272" priority="1354"/>
    <cfRule type="duplicateValues" dxfId="1271" priority="1355"/>
  </conditionalFormatting>
  <conditionalFormatting sqref="A348">
    <cfRule type="duplicateValues" dxfId="1270" priority="1351"/>
  </conditionalFormatting>
  <conditionalFormatting sqref="A345">
    <cfRule type="expression" priority="1398">
      <formula>#REF!&gt;=5</formula>
    </cfRule>
  </conditionalFormatting>
  <conditionalFormatting sqref="A353">
    <cfRule type="expression" priority="1347">
      <formula>$AI353&gt;=5</formula>
    </cfRule>
  </conditionalFormatting>
  <conditionalFormatting sqref="A353">
    <cfRule type="duplicateValues" dxfId="1269" priority="1348"/>
  </conditionalFormatting>
  <conditionalFormatting sqref="A353">
    <cfRule type="duplicateValues" dxfId="1268" priority="1349"/>
    <cfRule type="duplicateValues" dxfId="1267" priority="1350"/>
  </conditionalFormatting>
  <conditionalFormatting sqref="A375">
    <cfRule type="duplicateValues" dxfId="1103" priority="1183"/>
  </conditionalFormatting>
  <conditionalFormatting sqref="A355">
    <cfRule type="expression" priority="1179">
      <formula>$AH359&gt;=5</formula>
    </cfRule>
  </conditionalFormatting>
  <conditionalFormatting sqref="A355">
    <cfRule type="duplicateValues" dxfId="1102" priority="1180"/>
  </conditionalFormatting>
  <conditionalFormatting sqref="A355">
    <cfRule type="duplicateValues" dxfId="1101" priority="1181"/>
    <cfRule type="duplicateValues" dxfId="1100" priority="1182"/>
  </conditionalFormatting>
  <conditionalFormatting sqref="A361">
    <cfRule type="expression" priority="1175">
      <formula>$AL373&gt;=5</formula>
    </cfRule>
  </conditionalFormatting>
  <conditionalFormatting sqref="A361">
    <cfRule type="duplicateValues" dxfId="1099" priority="1176"/>
  </conditionalFormatting>
  <conditionalFormatting sqref="A361">
    <cfRule type="duplicateValues" dxfId="1098" priority="1177"/>
    <cfRule type="duplicateValues" dxfId="1097" priority="1178"/>
  </conditionalFormatting>
  <conditionalFormatting sqref="A372">
    <cfRule type="duplicateValues" dxfId="1096" priority="1171"/>
  </conditionalFormatting>
  <conditionalFormatting sqref="A372">
    <cfRule type="duplicateValues" dxfId="1095" priority="1172"/>
    <cfRule type="duplicateValues" dxfId="1094" priority="1173"/>
  </conditionalFormatting>
  <conditionalFormatting sqref="A372">
    <cfRule type="expression" priority="1174">
      <formula>#REF!&gt;=5</formula>
    </cfRule>
  </conditionalFormatting>
  <conditionalFormatting sqref="A373">
    <cfRule type="duplicateValues" dxfId="1093" priority="1170"/>
  </conditionalFormatting>
  <conditionalFormatting sqref="A374">
    <cfRule type="expression" priority="1166">
      <formula>#REF!&gt;=5</formula>
    </cfRule>
  </conditionalFormatting>
  <conditionalFormatting sqref="A374">
    <cfRule type="duplicateValues" dxfId="1092" priority="1167"/>
  </conditionalFormatting>
  <conditionalFormatting sqref="A374">
    <cfRule type="duplicateValues" dxfId="1091" priority="1168"/>
    <cfRule type="duplicateValues" dxfId="1090" priority="1169"/>
  </conditionalFormatting>
  <conditionalFormatting sqref="A387">
    <cfRule type="duplicateValues" dxfId="1089" priority="1162"/>
  </conditionalFormatting>
  <conditionalFormatting sqref="A387">
    <cfRule type="duplicateValues" dxfId="1088" priority="1163"/>
    <cfRule type="duplicateValues" dxfId="1087" priority="1164"/>
  </conditionalFormatting>
  <conditionalFormatting sqref="A387">
    <cfRule type="duplicateValues" dxfId="1086" priority="1147"/>
  </conditionalFormatting>
  <conditionalFormatting sqref="A387">
    <cfRule type="duplicateValues" dxfId="1085" priority="1148"/>
    <cfRule type="duplicateValues" dxfId="1084" priority="1149"/>
  </conditionalFormatting>
  <conditionalFormatting sqref="A385:A386">
    <cfRule type="expression" priority="1158">
      <formula>$AL398&gt;=5</formula>
    </cfRule>
  </conditionalFormatting>
  <conditionalFormatting sqref="A385">
    <cfRule type="duplicateValues" dxfId="1083" priority="1159"/>
  </conditionalFormatting>
  <conditionalFormatting sqref="A385">
    <cfRule type="duplicateValues" dxfId="1082" priority="1160"/>
    <cfRule type="duplicateValues" dxfId="1081" priority="1161"/>
  </conditionalFormatting>
  <conditionalFormatting sqref="A386">
    <cfRule type="duplicateValues" dxfId="1080" priority="1155"/>
  </conditionalFormatting>
  <conditionalFormatting sqref="A386">
    <cfRule type="duplicateValues" dxfId="1079" priority="1156"/>
    <cfRule type="duplicateValues" dxfId="1078" priority="1157"/>
  </conditionalFormatting>
  <conditionalFormatting sqref="A398">
    <cfRule type="duplicateValues" dxfId="1077" priority="1151"/>
  </conditionalFormatting>
  <conditionalFormatting sqref="A398">
    <cfRule type="duplicateValues" dxfId="1076" priority="1152"/>
    <cfRule type="duplicateValues" dxfId="1075" priority="1153"/>
  </conditionalFormatting>
  <conditionalFormatting sqref="A398">
    <cfRule type="expression" priority="1154">
      <formula>#REF!&gt;=5</formula>
    </cfRule>
  </conditionalFormatting>
  <conditionalFormatting sqref="A399">
    <cfRule type="duplicateValues" dxfId="1074" priority="1150"/>
  </conditionalFormatting>
  <conditionalFormatting sqref="A387">
    <cfRule type="expression" priority="1146">
      <formula>#REF!&gt;=5</formula>
    </cfRule>
  </conditionalFormatting>
  <conditionalFormatting sqref="A397">
    <cfRule type="duplicateValues" dxfId="1073" priority="1142"/>
  </conditionalFormatting>
  <conditionalFormatting sqref="A397">
    <cfRule type="duplicateValues" dxfId="1072" priority="1143"/>
    <cfRule type="duplicateValues" dxfId="1071" priority="1144"/>
  </conditionalFormatting>
  <conditionalFormatting sqref="A397">
    <cfRule type="expression" priority="1145">
      <formula>#REF!&gt;=5</formula>
    </cfRule>
  </conditionalFormatting>
  <conditionalFormatting sqref="A384">
    <cfRule type="expression" priority="1138">
      <formula>$AL395&gt;=5</formula>
    </cfRule>
  </conditionalFormatting>
  <conditionalFormatting sqref="A384">
    <cfRule type="duplicateValues" dxfId="1070" priority="1139"/>
  </conditionalFormatting>
  <conditionalFormatting sqref="A384">
    <cfRule type="duplicateValues" dxfId="1069" priority="1140"/>
    <cfRule type="duplicateValues" dxfId="1068" priority="1141"/>
  </conditionalFormatting>
  <conditionalFormatting sqref="A387">
    <cfRule type="expression" priority="1137">
      <formula>#REF!&gt;=5</formula>
    </cfRule>
  </conditionalFormatting>
  <conditionalFormatting sqref="A385">
    <cfRule type="duplicateValues" dxfId="1067" priority="1133"/>
  </conditionalFormatting>
  <conditionalFormatting sqref="A385">
    <cfRule type="duplicateValues" dxfId="1066" priority="1134"/>
    <cfRule type="duplicateValues" dxfId="1065" priority="1135"/>
  </conditionalFormatting>
  <conditionalFormatting sqref="A385">
    <cfRule type="expression" priority="1136">
      <formula>#REF!&gt;=5</formula>
    </cfRule>
  </conditionalFormatting>
  <conditionalFormatting sqref="A400">
    <cfRule type="expression" priority="1129">
      <formula>$AH408&gt;=5</formula>
    </cfRule>
  </conditionalFormatting>
  <conditionalFormatting sqref="A400">
    <cfRule type="duplicateValues" dxfId="1064" priority="1130"/>
  </conditionalFormatting>
  <conditionalFormatting sqref="A400">
    <cfRule type="duplicateValues" dxfId="1063" priority="1131"/>
    <cfRule type="duplicateValues" dxfId="1062" priority="1132"/>
  </conditionalFormatting>
  <conditionalFormatting sqref="A401">
    <cfRule type="duplicateValues" dxfId="1061" priority="1128"/>
  </conditionalFormatting>
  <conditionalFormatting sqref="A398">
    <cfRule type="duplicateValues" dxfId="1060" priority="1127"/>
  </conditionalFormatting>
  <conditionalFormatting sqref="A399">
    <cfRule type="duplicateValues" dxfId="1059" priority="1124"/>
  </conditionalFormatting>
  <conditionalFormatting sqref="A399">
    <cfRule type="duplicateValues" dxfId="1058" priority="1125"/>
    <cfRule type="duplicateValues" dxfId="1057" priority="1126"/>
  </conditionalFormatting>
  <conditionalFormatting sqref="A400">
    <cfRule type="duplicateValues" dxfId="1056" priority="1123"/>
  </conditionalFormatting>
  <conditionalFormatting sqref="A401">
    <cfRule type="expression" priority="1119">
      <formula>$AH407&gt;=5</formula>
    </cfRule>
  </conditionalFormatting>
  <conditionalFormatting sqref="A401">
    <cfRule type="duplicateValues" dxfId="1055" priority="1120"/>
  </conditionalFormatting>
  <conditionalFormatting sqref="A401">
    <cfRule type="duplicateValues" dxfId="1054" priority="1121"/>
    <cfRule type="duplicateValues" dxfId="1053" priority="1122"/>
  </conditionalFormatting>
  <conditionalFormatting sqref="A402">
    <cfRule type="duplicateValues" dxfId="1052" priority="1118"/>
  </conditionalFormatting>
  <conditionalFormatting sqref="A399">
    <cfRule type="expression" priority="1165">
      <formula>#REF!&gt;=5</formula>
    </cfRule>
  </conditionalFormatting>
  <conditionalFormatting sqref="A407">
    <cfRule type="expression" priority="1114">
      <formula>$AI407&gt;=5</formula>
    </cfRule>
  </conditionalFormatting>
  <conditionalFormatting sqref="A407">
    <cfRule type="duplicateValues" dxfId="1051" priority="1115"/>
  </conditionalFormatting>
  <conditionalFormatting sqref="A407">
    <cfRule type="duplicateValues" dxfId="1050" priority="1116"/>
    <cfRule type="duplicateValues" dxfId="1049" priority="1117"/>
  </conditionalFormatting>
  <conditionalFormatting sqref="A429">
    <cfRule type="duplicateValues" dxfId="885" priority="950"/>
  </conditionalFormatting>
  <conditionalFormatting sqref="A409">
    <cfRule type="expression" priority="946">
      <formula>$AH413&gt;=5</formula>
    </cfRule>
  </conditionalFormatting>
  <conditionalFormatting sqref="A409">
    <cfRule type="duplicateValues" dxfId="884" priority="947"/>
  </conditionalFormatting>
  <conditionalFormatting sqref="A409">
    <cfRule type="duplicateValues" dxfId="883" priority="948"/>
    <cfRule type="duplicateValues" dxfId="882" priority="949"/>
  </conditionalFormatting>
  <conditionalFormatting sqref="A415">
    <cfRule type="expression" priority="942">
      <formula>$AL427&gt;=5</formula>
    </cfRule>
  </conditionalFormatting>
  <conditionalFormatting sqref="A415">
    <cfRule type="duplicateValues" dxfId="881" priority="943"/>
  </conditionalFormatting>
  <conditionalFormatting sqref="A415">
    <cfRule type="duplicateValues" dxfId="880" priority="944"/>
    <cfRule type="duplicateValues" dxfId="879" priority="945"/>
  </conditionalFormatting>
  <conditionalFormatting sqref="A426">
    <cfRule type="duplicateValues" dxfId="878" priority="938"/>
  </conditionalFormatting>
  <conditionalFormatting sqref="A426">
    <cfRule type="duplicateValues" dxfId="877" priority="939"/>
    <cfRule type="duplicateValues" dxfId="876" priority="940"/>
  </conditionalFormatting>
  <conditionalFormatting sqref="A426">
    <cfRule type="expression" priority="941">
      <formula>#REF!&gt;=5</formula>
    </cfRule>
  </conditionalFormatting>
  <conditionalFormatting sqref="A427">
    <cfRule type="duplicateValues" dxfId="875" priority="937"/>
  </conditionalFormatting>
  <conditionalFormatting sqref="A428">
    <cfRule type="expression" priority="933">
      <formula>#REF!&gt;=5</formula>
    </cfRule>
  </conditionalFormatting>
  <conditionalFormatting sqref="A428">
    <cfRule type="duplicateValues" dxfId="874" priority="934"/>
  </conditionalFormatting>
  <conditionalFormatting sqref="A428">
    <cfRule type="duplicateValues" dxfId="873" priority="935"/>
    <cfRule type="duplicateValues" dxfId="872" priority="936"/>
  </conditionalFormatting>
  <conditionalFormatting sqref="A441">
    <cfRule type="duplicateValues" dxfId="871" priority="929"/>
  </conditionalFormatting>
  <conditionalFormatting sqref="A441">
    <cfRule type="duplicateValues" dxfId="870" priority="930"/>
    <cfRule type="duplicateValues" dxfId="869" priority="931"/>
  </conditionalFormatting>
  <conditionalFormatting sqref="A441">
    <cfRule type="duplicateValues" dxfId="868" priority="914"/>
  </conditionalFormatting>
  <conditionalFormatting sqref="A441">
    <cfRule type="duplicateValues" dxfId="867" priority="915"/>
    <cfRule type="duplicateValues" dxfId="866" priority="916"/>
  </conditionalFormatting>
  <conditionalFormatting sqref="A439:A440">
    <cfRule type="expression" priority="925">
      <formula>$AL452&gt;=5</formula>
    </cfRule>
  </conditionalFormatting>
  <conditionalFormatting sqref="A439">
    <cfRule type="duplicateValues" dxfId="865" priority="926"/>
  </conditionalFormatting>
  <conditionalFormatting sqref="A439">
    <cfRule type="duplicateValues" dxfId="864" priority="927"/>
    <cfRule type="duplicateValues" dxfId="863" priority="928"/>
  </conditionalFormatting>
  <conditionalFormatting sqref="A440">
    <cfRule type="duplicateValues" dxfId="862" priority="922"/>
  </conditionalFormatting>
  <conditionalFormatting sqref="A440">
    <cfRule type="duplicateValues" dxfId="861" priority="923"/>
    <cfRule type="duplicateValues" dxfId="860" priority="924"/>
  </conditionalFormatting>
  <conditionalFormatting sqref="A452">
    <cfRule type="duplicateValues" dxfId="859" priority="918"/>
  </conditionalFormatting>
  <conditionalFormatting sqref="A452">
    <cfRule type="duplicateValues" dxfId="858" priority="919"/>
    <cfRule type="duplicateValues" dxfId="857" priority="920"/>
  </conditionalFormatting>
  <conditionalFormatting sqref="A452">
    <cfRule type="expression" priority="921">
      <formula>#REF!&gt;=5</formula>
    </cfRule>
  </conditionalFormatting>
  <conditionalFormatting sqref="A453">
    <cfRule type="duplicateValues" dxfId="856" priority="917"/>
  </conditionalFormatting>
  <conditionalFormatting sqref="A441">
    <cfRule type="expression" priority="913">
      <formula>#REF!&gt;=5</formula>
    </cfRule>
  </conditionalFormatting>
  <conditionalFormatting sqref="A451">
    <cfRule type="duplicateValues" dxfId="855" priority="909"/>
  </conditionalFormatting>
  <conditionalFormatting sqref="A451">
    <cfRule type="duplicateValues" dxfId="854" priority="910"/>
    <cfRule type="duplicateValues" dxfId="853" priority="911"/>
  </conditionalFormatting>
  <conditionalFormatting sqref="A451">
    <cfRule type="expression" priority="912">
      <formula>#REF!&gt;=5</formula>
    </cfRule>
  </conditionalFormatting>
  <conditionalFormatting sqref="A438">
    <cfRule type="expression" priority="905">
      <formula>$AL449&gt;=5</formula>
    </cfRule>
  </conditionalFormatting>
  <conditionalFormatting sqref="A438">
    <cfRule type="duplicateValues" dxfId="852" priority="906"/>
  </conditionalFormatting>
  <conditionalFormatting sqref="A438">
    <cfRule type="duplicateValues" dxfId="851" priority="907"/>
    <cfRule type="duplicateValues" dxfId="850" priority="908"/>
  </conditionalFormatting>
  <conditionalFormatting sqref="A441">
    <cfRule type="expression" priority="904">
      <formula>#REF!&gt;=5</formula>
    </cfRule>
  </conditionalFormatting>
  <conditionalFormatting sqref="A439">
    <cfRule type="duplicateValues" dxfId="849" priority="900"/>
  </conditionalFormatting>
  <conditionalFormatting sqref="A439">
    <cfRule type="duplicateValues" dxfId="848" priority="901"/>
    <cfRule type="duplicateValues" dxfId="847" priority="902"/>
  </conditionalFormatting>
  <conditionalFormatting sqref="A439">
    <cfRule type="expression" priority="903">
      <formula>#REF!&gt;=5</formula>
    </cfRule>
  </conditionalFormatting>
  <conditionalFormatting sqref="A454">
    <cfRule type="expression" priority="896">
      <formula>$AH462&gt;=5</formula>
    </cfRule>
  </conditionalFormatting>
  <conditionalFormatting sqref="A454">
    <cfRule type="duplicateValues" dxfId="846" priority="897"/>
  </conditionalFormatting>
  <conditionalFormatting sqref="A454">
    <cfRule type="duplicateValues" dxfId="845" priority="898"/>
    <cfRule type="duplicateValues" dxfId="844" priority="899"/>
  </conditionalFormatting>
  <conditionalFormatting sqref="A455">
    <cfRule type="duplicateValues" dxfId="843" priority="895"/>
  </conditionalFormatting>
  <conditionalFormatting sqref="A452">
    <cfRule type="duplicateValues" dxfId="842" priority="894"/>
  </conditionalFormatting>
  <conditionalFormatting sqref="A453">
    <cfRule type="duplicateValues" dxfId="841" priority="891"/>
  </conditionalFormatting>
  <conditionalFormatting sqref="A453">
    <cfRule type="duplicateValues" dxfId="840" priority="892"/>
    <cfRule type="duplicateValues" dxfId="839" priority="893"/>
  </conditionalFormatting>
  <conditionalFormatting sqref="A454">
    <cfRule type="duplicateValues" dxfId="838" priority="890"/>
  </conditionalFormatting>
  <conditionalFormatting sqref="A455">
    <cfRule type="expression" priority="886">
      <formula>$AH461&gt;=5</formula>
    </cfRule>
  </conditionalFormatting>
  <conditionalFormatting sqref="A455">
    <cfRule type="duplicateValues" dxfId="837" priority="887"/>
  </conditionalFormatting>
  <conditionalFormatting sqref="A455">
    <cfRule type="duplicateValues" dxfId="836" priority="888"/>
    <cfRule type="duplicateValues" dxfId="835" priority="889"/>
  </conditionalFormatting>
  <conditionalFormatting sqref="A456">
    <cfRule type="duplicateValues" dxfId="834" priority="885"/>
  </conditionalFormatting>
  <conditionalFormatting sqref="A453">
    <cfRule type="expression" priority="932">
      <formula>#REF!&gt;=5</formula>
    </cfRule>
  </conditionalFormatting>
  <conditionalFormatting sqref="A461">
    <cfRule type="expression" priority="881">
      <formula>$AI461&gt;=5</formula>
    </cfRule>
  </conditionalFormatting>
  <conditionalFormatting sqref="A461">
    <cfRule type="duplicateValues" dxfId="833" priority="882"/>
  </conditionalFormatting>
  <conditionalFormatting sqref="A461">
    <cfRule type="duplicateValues" dxfId="832" priority="883"/>
    <cfRule type="duplicateValues" dxfId="831" priority="884"/>
  </conditionalFormatting>
  <conditionalFormatting sqref="A483">
    <cfRule type="duplicateValues" dxfId="667" priority="717"/>
  </conditionalFormatting>
  <conditionalFormatting sqref="A463">
    <cfRule type="expression" priority="713">
      <formula>$AH467&gt;=5</formula>
    </cfRule>
  </conditionalFormatting>
  <conditionalFormatting sqref="A463">
    <cfRule type="duplicateValues" dxfId="666" priority="714"/>
  </conditionalFormatting>
  <conditionalFormatting sqref="A463">
    <cfRule type="duplicateValues" dxfId="665" priority="715"/>
    <cfRule type="duplicateValues" dxfId="664" priority="716"/>
  </conditionalFormatting>
  <conditionalFormatting sqref="A469">
    <cfRule type="expression" priority="709">
      <formula>$AL481&gt;=5</formula>
    </cfRule>
  </conditionalFormatting>
  <conditionalFormatting sqref="A469">
    <cfRule type="duplicateValues" dxfId="663" priority="710"/>
  </conditionalFormatting>
  <conditionalFormatting sqref="A469">
    <cfRule type="duplicateValues" dxfId="662" priority="711"/>
    <cfRule type="duplicateValues" dxfId="661" priority="712"/>
  </conditionalFormatting>
  <conditionalFormatting sqref="A480">
    <cfRule type="duplicateValues" dxfId="660" priority="705"/>
  </conditionalFormatting>
  <conditionalFormatting sqref="A480">
    <cfRule type="duplicateValues" dxfId="659" priority="706"/>
    <cfRule type="duplicateValues" dxfId="658" priority="707"/>
  </conditionalFormatting>
  <conditionalFormatting sqref="A480">
    <cfRule type="expression" priority="708">
      <formula>#REF!&gt;=5</formula>
    </cfRule>
  </conditionalFormatting>
  <conditionalFormatting sqref="A481">
    <cfRule type="duplicateValues" dxfId="657" priority="704"/>
  </conditionalFormatting>
  <conditionalFormatting sqref="A482">
    <cfRule type="expression" priority="700">
      <formula>#REF!&gt;=5</formula>
    </cfRule>
  </conditionalFormatting>
  <conditionalFormatting sqref="A482">
    <cfRule type="duplicateValues" dxfId="656" priority="701"/>
  </conditionalFormatting>
  <conditionalFormatting sqref="A482">
    <cfRule type="duplicateValues" dxfId="655" priority="702"/>
    <cfRule type="duplicateValues" dxfId="654" priority="703"/>
  </conditionalFormatting>
  <conditionalFormatting sqref="A495">
    <cfRule type="duplicateValues" dxfId="653" priority="696"/>
  </conditionalFormatting>
  <conditionalFormatting sqref="A495">
    <cfRule type="duplicateValues" dxfId="652" priority="697"/>
    <cfRule type="duplicateValues" dxfId="651" priority="698"/>
  </conditionalFormatting>
  <conditionalFormatting sqref="A495">
    <cfRule type="duplicateValues" dxfId="650" priority="681"/>
  </conditionalFormatting>
  <conditionalFormatting sqref="A495">
    <cfRule type="duplicateValues" dxfId="649" priority="682"/>
    <cfRule type="duplicateValues" dxfId="648" priority="683"/>
  </conditionalFormatting>
  <conditionalFormatting sqref="A493:A494">
    <cfRule type="expression" priority="692">
      <formula>$AL506&gt;=5</formula>
    </cfRule>
  </conditionalFormatting>
  <conditionalFormatting sqref="A493">
    <cfRule type="duplicateValues" dxfId="647" priority="693"/>
  </conditionalFormatting>
  <conditionalFormatting sqref="A493">
    <cfRule type="duplicateValues" dxfId="646" priority="694"/>
    <cfRule type="duplicateValues" dxfId="645" priority="695"/>
  </conditionalFormatting>
  <conditionalFormatting sqref="A494">
    <cfRule type="duplicateValues" dxfId="644" priority="689"/>
  </conditionalFormatting>
  <conditionalFormatting sqref="A494">
    <cfRule type="duplicateValues" dxfId="643" priority="690"/>
    <cfRule type="duplicateValues" dxfId="642" priority="691"/>
  </conditionalFormatting>
  <conditionalFormatting sqref="A506">
    <cfRule type="duplicateValues" dxfId="641" priority="685"/>
  </conditionalFormatting>
  <conditionalFormatting sqref="A506">
    <cfRule type="duplicateValues" dxfId="640" priority="686"/>
    <cfRule type="duplicateValues" dxfId="639" priority="687"/>
  </conditionalFormatting>
  <conditionalFormatting sqref="A506">
    <cfRule type="expression" priority="688">
      <formula>#REF!&gt;=5</formula>
    </cfRule>
  </conditionalFormatting>
  <conditionalFormatting sqref="A507">
    <cfRule type="duplicateValues" dxfId="638" priority="684"/>
  </conditionalFormatting>
  <conditionalFormatting sqref="A495">
    <cfRule type="expression" priority="680">
      <formula>#REF!&gt;=5</formula>
    </cfRule>
  </conditionalFormatting>
  <conditionalFormatting sqref="A505">
    <cfRule type="duplicateValues" dxfId="637" priority="676"/>
  </conditionalFormatting>
  <conditionalFormatting sqref="A505">
    <cfRule type="duplicateValues" dxfId="636" priority="677"/>
    <cfRule type="duplicateValues" dxfId="635" priority="678"/>
  </conditionalFormatting>
  <conditionalFormatting sqref="A505">
    <cfRule type="expression" priority="679">
      <formula>#REF!&gt;=5</formula>
    </cfRule>
  </conditionalFormatting>
  <conditionalFormatting sqref="A492">
    <cfRule type="expression" priority="672">
      <formula>$AL503&gt;=5</formula>
    </cfRule>
  </conditionalFormatting>
  <conditionalFormatting sqref="A492">
    <cfRule type="duplicateValues" dxfId="634" priority="673"/>
  </conditionalFormatting>
  <conditionalFormatting sqref="A492">
    <cfRule type="duplicateValues" dxfId="633" priority="674"/>
    <cfRule type="duplicateValues" dxfId="632" priority="675"/>
  </conditionalFormatting>
  <conditionalFormatting sqref="A495">
    <cfRule type="expression" priority="671">
      <formula>#REF!&gt;=5</formula>
    </cfRule>
  </conditionalFormatting>
  <conditionalFormatting sqref="A493">
    <cfRule type="duplicateValues" dxfId="631" priority="667"/>
  </conditionalFormatting>
  <conditionalFormatting sqref="A493">
    <cfRule type="duplicateValues" dxfId="630" priority="668"/>
    <cfRule type="duplicateValues" dxfId="629" priority="669"/>
  </conditionalFormatting>
  <conditionalFormatting sqref="A493">
    <cfRule type="expression" priority="670">
      <formula>#REF!&gt;=5</formula>
    </cfRule>
  </conditionalFormatting>
  <conditionalFormatting sqref="A508">
    <cfRule type="expression" priority="663">
      <formula>$AH516&gt;=5</formula>
    </cfRule>
  </conditionalFormatting>
  <conditionalFormatting sqref="A508">
    <cfRule type="duplicateValues" dxfId="628" priority="664"/>
  </conditionalFormatting>
  <conditionalFormatting sqref="A508">
    <cfRule type="duplicateValues" dxfId="627" priority="665"/>
    <cfRule type="duplicateValues" dxfId="626" priority="666"/>
  </conditionalFormatting>
  <conditionalFormatting sqref="A509">
    <cfRule type="duplicateValues" dxfId="625" priority="662"/>
  </conditionalFormatting>
  <conditionalFormatting sqref="A506">
    <cfRule type="duplicateValues" dxfId="624" priority="661"/>
  </conditionalFormatting>
  <conditionalFormatting sqref="A507">
    <cfRule type="duplicateValues" dxfId="623" priority="658"/>
  </conditionalFormatting>
  <conditionalFormatting sqref="A507">
    <cfRule type="duplicateValues" dxfId="622" priority="659"/>
    <cfRule type="duplicateValues" dxfId="621" priority="660"/>
  </conditionalFormatting>
  <conditionalFormatting sqref="A508">
    <cfRule type="duplicateValues" dxfId="620" priority="657"/>
  </conditionalFormatting>
  <conditionalFormatting sqref="A509">
    <cfRule type="expression" priority="653">
      <formula>$AH515&gt;=5</formula>
    </cfRule>
  </conditionalFormatting>
  <conditionalFormatting sqref="A509">
    <cfRule type="duplicateValues" dxfId="619" priority="654"/>
  </conditionalFormatting>
  <conditionalFormatting sqref="A509">
    <cfRule type="duplicateValues" dxfId="618" priority="655"/>
    <cfRule type="duplicateValues" dxfId="617" priority="656"/>
  </conditionalFormatting>
  <conditionalFormatting sqref="A510">
    <cfRule type="duplicateValues" dxfId="616" priority="652"/>
  </conditionalFormatting>
  <conditionalFormatting sqref="A507">
    <cfRule type="expression" priority="699">
      <formula>#REF!&gt;=5</formula>
    </cfRule>
  </conditionalFormatting>
  <conditionalFormatting sqref="A515">
    <cfRule type="expression" priority="648">
      <formula>$AI515&gt;=5</formula>
    </cfRule>
  </conditionalFormatting>
  <conditionalFormatting sqref="A515">
    <cfRule type="duplicateValues" dxfId="615" priority="649"/>
  </conditionalFormatting>
  <conditionalFormatting sqref="A515">
    <cfRule type="duplicateValues" dxfId="614" priority="650"/>
    <cfRule type="duplicateValues" dxfId="613" priority="651"/>
  </conditionalFormatting>
  <conditionalFormatting sqref="A537">
    <cfRule type="duplicateValues" dxfId="449" priority="484"/>
  </conditionalFormatting>
  <conditionalFormatting sqref="A517">
    <cfRule type="expression" priority="480">
      <formula>$AH521&gt;=5</formula>
    </cfRule>
  </conditionalFormatting>
  <conditionalFormatting sqref="A517">
    <cfRule type="duplicateValues" dxfId="448" priority="481"/>
  </conditionalFormatting>
  <conditionalFormatting sqref="A517">
    <cfRule type="duplicateValues" dxfId="447" priority="482"/>
    <cfRule type="duplicateValues" dxfId="446" priority="483"/>
  </conditionalFormatting>
  <conditionalFormatting sqref="A523">
    <cfRule type="expression" priority="476">
      <formula>$AL535&gt;=5</formula>
    </cfRule>
  </conditionalFormatting>
  <conditionalFormatting sqref="A523">
    <cfRule type="duplicateValues" dxfId="445" priority="477"/>
  </conditionalFormatting>
  <conditionalFormatting sqref="A523">
    <cfRule type="duplicateValues" dxfId="444" priority="478"/>
    <cfRule type="duplicateValues" dxfId="443" priority="479"/>
  </conditionalFormatting>
  <conditionalFormatting sqref="A534">
    <cfRule type="duplicateValues" dxfId="442" priority="472"/>
  </conditionalFormatting>
  <conditionalFormatting sqref="A534">
    <cfRule type="duplicateValues" dxfId="441" priority="473"/>
    <cfRule type="duplicateValues" dxfId="440" priority="474"/>
  </conditionalFormatting>
  <conditionalFormatting sqref="A534">
    <cfRule type="expression" priority="475">
      <formula>#REF!&gt;=5</formula>
    </cfRule>
  </conditionalFormatting>
  <conditionalFormatting sqref="A535">
    <cfRule type="duplicateValues" dxfId="439" priority="471"/>
  </conditionalFormatting>
  <conditionalFormatting sqref="A536">
    <cfRule type="expression" priority="467">
      <formula>#REF!&gt;=5</formula>
    </cfRule>
  </conditionalFormatting>
  <conditionalFormatting sqref="A536">
    <cfRule type="duplicateValues" dxfId="438" priority="468"/>
  </conditionalFormatting>
  <conditionalFormatting sqref="A536">
    <cfRule type="duplicateValues" dxfId="437" priority="469"/>
    <cfRule type="duplicateValues" dxfId="436" priority="470"/>
  </conditionalFormatting>
  <conditionalFormatting sqref="A549">
    <cfRule type="duplicateValues" dxfId="435" priority="463"/>
  </conditionalFormatting>
  <conditionalFormatting sqref="A549">
    <cfRule type="duplicateValues" dxfId="434" priority="464"/>
    <cfRule type="duplicateValues" dxfId="433" priority="465"/>
  </conditionalFormatting>
  <conditionalFormatting sqref="A549">
    <cfRule type="duplicateValues" dxfId="432" priority="448"/>
  </conditionalFormatting>
  <conditionalFormatting sqref="A549">
    <cfRule type="duplicateValues" dxfId="431" priority="449"/>
    <cfRule type="duplicateValues" dxfId="430" priority="450"/>
  </conditionalFormatting>
  <conditionalFormatting sqref="A547:A548">
    <cfRule type="expression" priority="459">
      <formula>$AL560&gt;=5</formula>
    </cfRule>
  </conditionalFormatting>
  <conditionalFormatting sqref="A547">
    <cfRule type="duplicateValues" dxfId="429" priority="460"/>
  </conditionalFormatting>
  <conditionalFormatting sqref="A547">
    <cfRule type="duplicateValues" dxfId="428" priority="461"/>
    <cfRule type="duplicateValues" dxfId="427" priority="462"/>
  </conditionalFormatting>
  <conditionalFormatting sqref="A548">
    <cfRule type="duplicateValues" dxfId="426" priority="456"/>
  </conditionalFormatting>
  <conditionalFormatting sqref="A548">
    <cfRule type="duplicateValues" dxfId="425" priority="457"/>
    <cfRule type="duplicateValues" dxfId="424" priority="458"/>
  </conditionalFormatting>
  <conditionalFormatting sqref="A560">
    <cfRule type="duplicateValues" dxfId="423" priority="452"/>
  </conditionalFormatting>
  <conditionalFormatting sqref="A560">
    <cfRule type="duplicateValues" dxfId="422" priority="453"/>
    <cfRule type="duplicateValues" dxfId="421" priority="454"/>
  </conditionalFormatting>
  <conditionalFormatting sqref="A560">
    <cfRule type="expression" priority="455">
      <formula>#REF!&gt;=5</formula>
    </cfRule>
  </conditionalFormatting>
  <conditionalFormatting sqref="A561">
    <cfRule type="duplicateValues" dxfId="420" priority="451"/>
  </conditionalFormatting>
  <conditionalFormatting sqref="A549">
    <cfRule type="expression" priority="447">
      <formula>#REF!&gt;=5</formula>
    </cfRule>
  </conditionalFormatting>
  <conditionalFormatting sqref="A559">
    <cfRule type="duplicateValues" dxfId="419" priority="443"/>
  </conditionalFormatting>
  <conditionalFormatting sqref="A559">
    <cfRule type="duplicateValues" dxfId="418" priority="444"/>
    <cfRule type="duplicateValues" dxfId="417" priority="445"/>
  </conditionalFormatting>
  <conditionalFormatting sqref="A559">
    <cfRule type="expression" priority="446">
      <formula>#REF!&gt;=5</formula>
    </cfRule>
  </conditionalFormatting>
  <conditionalFormatting sqref="A546">
    <cfRule type="expression" priority="439">
      <formula>$AL557&gt;=5</formula>
    </cfRule>
  </conditionalFormatting>
  <conditionalFormatting sqref="A546">
    <cfRule type="duplicateValues" dxfId="416" priority="440"/>
  </conditionalFormatting>
  <conditionalFormatting sqref="A546">
    <cfRule type="duplicateValues" dxfId="415" priority="441"/>
    <cfRule type="duplicateValues" dxfId="414" priority="442"/>
  </conditionalFormatting>
  <conditionalFormatting sqref="A549">
    <cfRule type="expression" priority="438">
      <formula>#REF!&gt;=5</formula>
    </cfRule>
  </conditionalFormatting>
  <conditionalFormatting sqref="A547">
    <cfRule type="duplicateValues" dxfId="413" priority="434"/>
  </conditionalFormatting>
  <conditionalFormatting sqref="A547">
    <cfRule type="duplicateValues" dxfId="412" priority="435"/>
    <cfRule type="duplicateValues" dxfId="411" priority="436"/>
  </conditionalFormatting>
  <conditionalFormatting sqref="A547">
    <cfRule type="expression" priority="437">
      <formula>#REF!&gt;=5</formula>
    </cfRule>
  </conditionalFormatting>
  <conditionalFormatting sqref="A562">
    <cfRule type="expression" priority="430">
      <formula>$AH570&gt;=5</formula>
    </cfRule>
  </conditionalFormatting>
  <conditionalFormatting sqref="A562">
    <cfRule type="duplicateValues" dxfId="410" priority="431"/>
  </conditionalFormatting>
  <conditionalFormatting sqref="A562">
    <cfRule type="duplicateValues" dxfId="409" priority="432"/>
    <cfRule type="duplicateValues" dxfId="408" priority="433"/>
  </conditionalFormatting>
  <conditionalFormatting sqref="A563">
    <cfRule type="duplicateValues" dxfId="407" priority="429"/>
  </conditionalFormatting>
  <conditionalFormatting sqref="A560">
    <cfRule type="duplicateValues" dxfId="406" priority="428"/>
  </conditionalFormatting>
  <conditionalFormatting sqref="A561">
    <cfRule type="duplicateValues" dxfId="405" priority="425"/>
  </conditionalFormatting>
  <conditionalFormatting sqref="A561">
    <cfRule type="duplicateValues" dxfId="404" priority="426"/>
    <cfRule type="duplicateValues" dxfId="403" priority="427"/>
  </conditionalFormatting>
  <conditionalFormatting sqref="A562">
    <cfRule type="duplicateValues" dxfId="402" priority="424"/>
  </conditionalFormatting>
  <conditionalFormatting sqref="A563">
    <cfRule type="expression" priority="420">
      <formula>$AH569&gt;=5</formula>
    </cfRule>
  </conditionalFormatting>
  <conditionalFormatting sqref="A563">
    <cfRule type="duplicateValues" dxfId="401" priority="421"/>
  </conditionalFormatting>
  <conditionalFormatting sqref="A563">
    <cfRule type="duplicateValues" dxfId="400" priority="422"/>
    <cfRule type="duplicateValues" dxfId="399" priority="423"/>
  </conditionalFormatting>
  <conditionalFormatting sqref="A564">
    <cfRule type="duplicateValues" dxfId="398" priority="419"/>
  </conditionalFormatting>
  <conditionalFormatting sqref="A561">
    <cfRule type="expression" priority="466">
      <formula>#REF!&gt;=5</formula>
    </cfRule>
  </conditionalFormatting>
  <conditionalFormatting sqref="A569">
    <cfRule type="expression" priority="415">
      <formula>$AI569&gt;=5</formula>
    </cfRule>
  </conditionalFormatting>
  <conditionalFormatting sqref="A569">
    <cfRule type="duplicateValues" dxfId="397" priority="416"/>
  </conditionalFormatting>
  <conditionalFormatting sqref="A569">
    <cfRule type="duplicateValues" dxfId="396" priority="417"/>
    <cfRule type="duplicateValues" dxfId="395" priority="418"/>
  </conditionalFormatting>
  <conditionalFormatting sqref="A591">
    <cfRule type="duplicateValues" dxfId="231" priority="251"/>
  </conditionalFormatting>
  <conditionalFormatting sqref="A571">
    <cfRule type="expression" priority="247">
      <formula>$AH575&gt;=5</formula>
    </cfRule>
  </conditionalFormatting>
  <conditionalFormatting sqref="A571">
    <cfRule type="duplicateValues" dxfId="230" priority="248"/>
  </conditionalFormatting>
  <conditionalFormatting sqref="A571">
    <cfRule type="duplicateValues" dxfId="229" priority="249"/>
    <cfRule type="duplicateValues" dxfId="228" priority="250"/>
  </conditionalFormatting>
  <conditionalFormatting sqref="A577">
    <cfRule type="expression" priority="243">
      <formula>$AL589&gt;=5</formula>
    </cfRule>
  </conditionalFormatting>
  <conditionalFormatting sqref="A577">
    <cfRule type="duplicateValues" dxfId="227" priority="244"/>
  </conditionalFormatting>
  <conditionalFormatting sqref="A577">
    <cfRule type="duplicateValues" dxfId="226" priority="245"/>
    <cfRule type="duplicateValues" dxfId="225" priority="246"/>
  </conditionalFormatting>
  <conditionalFormatting sqref="A588">
    <cfRule type="duplicateValues" dxfId="224" priority="239"/>
  </conditionalFormatting>
  <conditionalFormatting sqref="A588">
    <cfRule type="duplicateValues" dxfId="223" priority="240"/>
    <cfRule type="duplicateValues" dxfId="222" priority="241"/>
  </conditionalFormatting>
  <conditionalFormatting sqref="A588">
    <cfRule type="expression" priority="242">
      <formula>#REF!&gt;=5</formula>
    </cfRule>
  </conditionalFormatting>
  <conditionalFormatting sqref="A589">
    <cfRule type="duplicateValues" dxfId="221" priority="238"/>
  </conditionalFormatting>
  <conditionalFormatting sqref="A590">
    <cfRule type="expression" priority="234">
      <formula>#REF!&gt;=5</formula>
    </cfRule>
  </conditionalFormatting>
  <conditionalFormatting sqref="A590">
    <cfRule type="duplicateValues" dxfId="220" priority="235"/>
  </conditionalFormatting>
  <conditionalFormatting sqref="A590">
    <cfRule type="duplicateValues" dxfId="219" priority="236"/>
    <cfRule type="duplicateValues" dxfId="218" priority="237"/>
  </conditionalFormatting>
  <conditionalFormatting sqref="A603">
    <cfRule type="duplicateValues" dxfId="217" priority="230"/>
  </conditionalFormatting>
  <conditionalFormatting sqref="A603">
    <cfRule type="duplicateValues" dxfId="216" priority="231"/>
    <cfRule type="duplicateValues" dxfId="215" priority="232"/>
  </conditionalFormatting>
  <conditionalFormatting sqref="A603">
    <cfRule type="duplicateValues" dxfId="214" priority="215"/>
  </conditionalFormatting>
  <conditionalFormatting sqref="A603">
    <cfRule type="duplicateValues" dxfId="213" priority="216"/>
    <cfRule type="duplicateValues" dxfId="212" priority="217"/>
  </conditionalFormatting>
  <conditionalFormatting sqref="A601:A602">
    <cfRule type="expression" priority="226">
      <formula>$AL614&gt;=5</formula>
    </cfRule>
  </conditionalFormatting>
  <conditionalFormatting sqref="A601">
    <cfRule type="duplicateValues" dxfId="211" priority="227"/>
  </conditionalFormatting>
  <conditionalFormatting sqref="A601">
    <cfRule type="duplicateValues" dxfId="210" priority="228"/>
    <cfRule type="duplicateValues" dxfId="209" priority="229"/>
  </conditionalFormatting>
  <conditionalFormatting sqref="A602">
    <cfRule type="duplicateValues" dxfId="208" priority="223"/>
  </conditionalFormatting>
  <conditionalFormatting sqref="A602">
    <cfRule type="duplicateValues" dxfId="207" priority="224"/>
    <cfRule type="duplicateValues" dxfId="206" priority="225"/>
  </conditionalFormatting>
  <conditionalFormatting sqref="A614">
    <cfRule type="duplicateValues" dxfId="205" priority="219"/>
  </conditionalFormatting>
  <conditionalFormatting sqref="A614">
    <cfRule type="duplicateValues" dxfId="204" priority="220"/>
    <cfRule type="duplicateValues" dxfId="203" priority="221"/>
  </conditionalFormatting>
  <conditionalFormatting sqref="A614">
    <cfRule type="expression" priority="222">
      <formula>#REF!&gt;=5</formula>
    </cfRule>
  </conditionalFormatting>
  <conditionalFormatting sqref="A615">
    <cfRule type="duplicateValues" dxfId="202" priority="218"/>
  </conditionalFormatting>
  <conditionalFormatting sqref="A603">
    <cfRule type="expression" priority="214">
      <formula>#REF!&gt;=5</formula>
    </cfRule>
  </conditionalFormatting>
  <conditionalFormatting sqref="A613">
    <cfRule type="duplicateValues" dxfId="201" priority="210"/>
  </conditionalFormatting>
  <conditionalFormatting sqref="A613">
    <cfRule type="duplicateValues" dxfId="200" priority="211"/>
    <cfRule type="duplicateValues" dxfId="199" priority="212"/>
  </conditionalFormatting>
  <conditionalFormatting sqref="A613">
    <cfRule type="expression" priority="213">
      <formula>#REF!&gt;=5</formula>
    </cfRule>
  </conditionalFormatting>
  <conditionalFormatting sqref="A600">
    <cfRule type="expression" priority="206">
      <formula>$AL611&gt;=5</formula>
    </cfRule>
  </conditionalFormatting>
  <conditionalFormatting sqref="A600">
    <cfRule type="duplicateValues" dxfId="198" priority="207"/>
  </conditionalFormatting>
  <conditionalFormatting sqref="A600">
    <cfRule type="duplicateValues" dxfId="197" priority="208"/>
    <cfRule type="duplicateValues" dxfId="196" priority="209"/>
  </conditionalFormatting>
  <conditionalFormatting sqref="A603">
    <cfRule type="expression" priority="205">
      <formula>#REF!&gt;=5</formula>
    </cfRule>
  </conditionalFormatting>
  <conditionalFormatting sqref="A601">
    <cfRule type="duplicateValues" dxfId="195" priority="201"/>
  </conditionalFormatting>
  <conditionalFormatting sqref="A601">
    <cfRule type="duplicateValues" dxfId="194" priority="202"/>
    <cfRule type="duplicateValues" dxfId="193" priority="203"/>
  </conditionalFormatting>
  <conditionalFormatting sqref="A601">
    <cfRule type="expression" priority="204">
      <formula>#REF!&gt;=5</formula>
    </cfRule>
  </conditionalFormatting>
  <conditionalFormatting sqref="A616">
    <cfRule type="expression" priority="197">
      <formula>$AH624&gt;=5</formula>
    </cfRule>
  </conditionalFormatting>
  <conditionalFormatting sqref="A616">
    <cfRule type="duplicateValues" dxfId="192" priority="198"/>
  </conditionalFormatting>
  <conditionalFormatting sqref="A616">
    <cfRule type="duplicateValues" dxfId="191" priority="199"/>
    <cfRule type="duplicateValues" dxfId="190" priority="200"/>
  </conditionalFormatting>
  <conditionalFormatting sqref="A617">
    <cfRule type="duplicateValues" dxfId="189" priority="196"/>
  </conditionalFormatting>
  <conditionalFormatting sqref="A614">
    <cfRule type="duplicateValues" dxfId="188" priority="195"/>
  </conditionalFormatting>
  <conditionalFormatting sqref="A615">
    <cfRule type="duplicateValues" dxfId="187" priority="192"/>
  </conditionalFormatting>
  <conditionalFormatting sqref="A615">
    <cfRule type="duplicateValues" dxfId="186" priority="193"/>
    <cfRule type="duplicateValues" dxfId="185" priority="194"/>
  </conditionalFormatting>
  <conditionalFormatting sqref="A616">
    <cfRule type="duplicateValues" dxfId="184" priority="191"/>
  </conditionalFormatting>
  <conditionalFormatting sqref="A617">
    <cfRule type="expression" priority="187">
      <formula>$AH623&gt;=5</formula>
    </cfRule>
  </conditionalFormatting>
  <conditionalFormatting sqref="A617">
    <cfRule type="duplicateValues" dxfId="183" priority="188"/>
  </conditionalFormatting>
  <conditionalFormatting sqref="A617">
    <cfRule type="duplicateValues" dxfId="182" priority="189"/>
    <cfRule type="duplicateValues" dxfId="181" priority="190"/>
  </conditionalFormatting>
  <conditionalFormatting sqref="A618">
    <cfRule type="duplicateValues" dxfId="180" priority="186"/>
  </conditionalFormatting>
  <conditionalFormatting sqref="A615">
    <cfRule type="expression" priority="233">
      <formula>#REF!&gt;=5</formula>
    </cfRule>
  </conditionalFormatting>
  <conditionalFormatting sqref="A623">
    <cfRule type="expression" priority="182">
      <formula>$AI623&gt;=5</formula>
    </cfRule>
  </conditionalFormatting>
  <conditionalFormatting sqref="A623">
    <cfRule type="duplicateValues" dxfId="179" priority="183"/>
  </conditionalFormatting>
  <conditionalFormatting sqref="A623">
    <cfRule type="duplicateValues" dxfId="178" priority="184"/>
    <cfRule type="duplicateValues" dxfId="177" priority="185"/>
  </conditionalFormatting>
  <conditionalFormatting sqref="A645">
    <cfRule type="duplicateValues" dxfId="13" priority="18"/>
  </conditionalFormatting>
  <conditionalFormatting sqref="A625">
    <cfRule type="expression" priority="14">
      <formula>$AH629&gt;=5</formula>
    </cfRule>
  </conditionalFormatting>
  <conditionalFormatting sqref="A625">
    <cfRule type="duplicateValues" dxfId="12" priority="15"/>
  </conditionalFormatting>
  <conditionalFormatting sqref="A625">
    <cfRule type="duplicateValues" dxfId="11" priority="16"/>
    <cfRule type="duplicateValues" dxfId="10" priority="17"/>
  </conditionalFormatting>
  <conditionalFormatting sqref="A631">
    <cfRule type="expression" priority="10">
      <formula>$AL643&gt;=5</formula>
    </cfRule>
  </conditionalFormatting>
  <conditionalFormatting sqref="A631">
    <cfRule type="duplicateValues" dxfId="9" priority="11"/>
  </conditionalFormatting>
  <conditionalFormatting sqref="A631">
    <cfRule type="duplicateValues" dxfId="8" priority="12"/>
    <cfRule type="duplicateValues" dxfId="7" priority="13"/>
  </conditionalFormatting>
  <conditionalFormatting sqref="A642">
    <cfRule type="duplicateValues" dxfId="6" priority="6"/>
  </conditionalFormatting>
  <conditionalFormatting sqref="A642">
    <cfRule type="duplicateValues" dxfId="5" priority="7"/>
    <cfRule type="duplicateValues" dxfId="4" priority="8"/>
  </conditionalFormatting>
  <conditionalFormatting sqref="A642">
    <cfRule type="expression" priority="9">
      <formula>#REF!&gt;=5</formula>
    </cfRule>
  </conditionalFormatting>
  <conditionalFormatting sqref="A643">
    <cfRule type="duplicateValues" dxfId="3" priority="5"/>
  </conditionalFormatting>
  <conditionalFormatting sqref="A644">
    <cfRule type="expression" priority="1">
      <formula>#REF!&gt;=5</formula>
    </cfRule>
  </conditionalFormatting>
  <conditionalFormatting sqref="A644">
    <cfRule type="duplicateValues" dxfId="2" priority="2"/>
  </conditionalFormatting>
  <conditionalFormatting sqref="A644">
    <cfRule type="duplicateValues" dxfId="1" priority="3"/>
    <cfRule type="duplicateValues" dxfId="0" priority="4"/>
  </conditionalFormatting>
  <dataValidations count="4">
    <dataValidation type="textLength" operator="equal" allowBlank="1" showInputMessage="1" showErrorMessage="1" sqref="J3:J9">
      <formula1>11</formula1>
    </dataValidation>
    <dataValidation type="textLength" operator="lessThanOrEqual" allowBlank="1" showInputMessage="1" showErrorMessage="1" sqref="A2:B9 A644:C644 A50:B50 A56:B63 A104:C104 A110:B117 A158:C158 A164:B171 A212:C212 A218:B225 A266:C266 A272:B279 A320:C320 A326:B333 A374:C374 A380:B387 A428:C428 A434:B441 A482:C482 A488:B495 A536:C536 A542:B549 A590:C590 A596:B603 C645:C649 C2:C103 C105:C157 C159:C211 C213:C265 C267:C319 C321:C373 C375:C427 C429:C481 C483:C535 C537:C589 C591:C643">
      <formula1>256</formula1>
    </dataValidation>
    <dataValidation type="list" allowBlank="1" showInputMessage="1" showErrorMessage="1" sqref="D2:D649">
      <formula1>dept</formula1>
    </dataValidation>
    <dataValidation type="list" allowBlank="1" showInputMessage="1" showErrorMessage="1" sqref="G2:G649">
      <formula1>xb</formula1>
    </dataValidation>
  </dataValidations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8"/>
  <sheetViews>
    <sheetView topLeftCell="B1" workbookViewId="0">
      <selection activeCell="B2" sqref="B2"/>
    </sheetView>
  </sheetViews>
  <sheetFormatPr defaultRowHeight="12.75"/>
  <cols>
    <col min="1" max="1" width="8.85546875" style="1" hidden="1" customWidth="1"/>
    <col min="2" max="2" width="11.5703125" style="1" customWidth="1"/>
    <col min="3" max="3" width="12.28515625" style="1" customWidth="1"/>
    <col min="4" max="4" width="9.140625" style="1"/>
    <col min="5" max="5" width="9.42578125" style="1" hidden="1" customWidth="1"/>
    <col min="6" max="7" width="9.42578125" style="1" customWidth="1"/>
    <col min="8" max="16384" width="9.140625" style="1"/>
  </cols>
  <sheetData>
    <row r="1" spans="1:7" ht="12.75" customHeight="1">
      <c r="A1" s="38" t="s">
        <v>5</v>
      </c>
      <c r="B1" s="38"/>
      <c r="C1" s="38"/>
      <c r="E1" s="38" t="s">
        <v>6</v>
      </c>
      <c r="F1" s="38"/>
      <c r="G1" s="38"/>
    </row>
    <row r="2" spans="1:7" ht="12.75" customHeight="1">
      <c r="A2" s="1" t="s">
        <v>17</v>
      </c>
      <c r="B2" s="1" t="s">
        <v>16</v>
      </c>
      <c r="C2" s="1" t="s">
        <v>18</v>
      </c>
      <c r="E2" s="1" t="s">
        <v>28</v>
      </c>
      <c r="F2" s="1" t="s">
        <v>29</v>
      </c>
      <c r="G2" s="2" t="s">
        <v>30</v>
      </c>
    </row>
    <row r="3" spans="1:7" ht="12.75" customHeight="1">
      <c r="A3" s="1" t="s">
        <v>19</v>
      </c>
      <c r="B3" s="1" t="s">
        <v>20</v>
      </c>
      <c r="C3" s="2" t="s">
        <v>21</v>
      </c>
      <c r="E3" s="1" t="s">
        <v>31</v>
      </c>
      <c r="F3" s="1" t="s">
        <v>32</v>
      </c>
      <c r="G3" s="2" t="s">
        <v>33</v>
      </c>
    </row>
    <row r="4" spans="1:7" ht="12.75" customHeight="1">
      <c r="A4" s="1" t="s">
        <v>22</v>
      </c>
      <c r="B4" s="1" t="s">
        <v>23</v>
      </c>
      <c r="C4" s="2" t="s">
        <v>24</v>
      </c>
      <c r="E4" s="1" t="s">
        <v>34</v>
      </c>
      <c r="F4" s="1" t="s">
        <v>35</v>
      </c>
      <c r="G4" s="1" t="s">
        <v>36</v>
      </c>
    </row>
    <row r="5" spans="1:7" ht="12.75" customHeight="1">
      <c r="A5" s="1" t="s">
        <v>25</v>
      </c>
      <c r="B5" s="1" t="s">
        <v>26</v>
      </c>
      <c r="C5" s="2" t="s">
        <v>27</v>
      </c>
      <c r="E5" s="1" t="s">
        <v>37</v>
      </c>
      <c r="F5" s="1" t="s">
        <v>38</v>
      </c>
      <c r="G5" s="1" t="s">
        <v>39</v>
      </c>
    </row>
    <row r="6" spans="1:7" ht="12.75" customHeight="1">
      <c r="C6" s="2"/>
      <c r="E6" s="1" t="s">
        <v>40</v>
      </c>
      <c r="F6" s="1" t="s">
        <v>41</v>
      </c>
      <c r="G6" s="1" t="s">
        <v>42</v>
      </c>
    </row>
    <row r="7" spans="1:7" ht="12.75" customHeight="1">
      <c r="C7" s="2"/>
      <c r="E7" s="1" t="s">
        <v>43</v>
      </c>
      <c r="F7" s="1" t="s">
        <v>44</v>
      </c>
      <c r="G7" s="1" t="s">
        <v>45</v>
      </c>
    </row>
    <row r="8" spans="1:7" ht="12.75" customHeight="1">
      <c r="C8" s="2"/>
      <c r="E8" s="1" t="s">
        <v>46</v>
      </c>
      <c r="F8" s="1" t="s">
        <v>47</v>
      </c>
      <c r="G8" s="1" t="s">
        <v>48</v>
      </c>
    </row>
    <row r="9" spans="1:7" ht="12.75" customHeight="1">
      <c r="C9" s="2"/>
      <c r="E9" s="1" t="s">
        <v>49</v>
      </c>
      <c r="F9" s="1" t="s">
        <v>50</v>
      </c>
      <c r="G9" s="1" t="s">
        <v>51</v>
      </c>
    </row>
    <row r="10" spans="1:7" ht="12.75" customHeight="1">
      <c r="C10" s="2"/>
      <c r="E10" s="1" t="s">
        <v>52</v>
      </c>
      <c r="F10" s="1" t="s">
        <v>53</v>
      </c>
      <c r="G10" s="1" t="s">
        <v>54</v>
      </c>
    </row>
    <row r="11" spans="1:7" ht="12.75" customHeight="1">
      <c r="C11" s="2"/>
    </row>
    <row r="12" spans="1:7" ht="12.75" customHeight="1">
      <c r="C12" s="2"/>
    </row>
    <row r="13" spans="1:7" ht="12.75" customHeight="1">
      <c r="C13" s="2"/>
    </row>
    <row r="14" spans="1:7" ht="12.75" customHeight="1">
      <c r="C14" s="2"/>
    </row>
    <row r="15" spans="1:7" ht="12.75" customHeight="1"/>
    <row r="16" spans="1:7" ht="12.75" customHeight="1"/>
    <row r="17" spans="3:3" ht="12.75" customHeight="1">
      <c r="C17" s="2"/>
    </row>
    <row r="18" spans="3:3" ht="12.75" customHeight="1"/>
    <row r="19" spans="3:3" ht="12.75" customHeight="1"/>
    <row r="20" spans="3:3" ht="12.75" customHeight="1">
      <c r="C20" s="2"/>
    </row>
    <row r="21" spans="3:3" ht="12.75" customHeight="1">
      <c r="C21" s="2"/>
    </row>
    <row r="22" spans="3:3" ht="12.75" customHeight="1">
      <c r="C22" s="2"/>
    </row>
    <row r="23" spans="3:3" ht="12.75" customHeight="1">
      <c r="C23" s="2"/>
    </row>
    <row r="24" spans="3:3" ht="12.75" customHeight="1">
      <c r="C24" s="2"/>
    </row>
    <row r="25" spans="3:3" ht="12.75" customHeight="1">
      <c r="C25" s="2"/>
    </row>
    <row r="26" spans="3:3" ht="12.75" customHeight="1"/>
    <row r="27" spans="3:3" ht="12.75" customHeight="1">
      <c r="C27" s="2"/>
    </row>
    <row r="28" spans="3:3" ht="12.75" customHeight="1">
      <c r="C28" s="2"/>
    </row>
    <row r="29" spans="3:3" ht="12.75" customHeight="1"/>
    <row r="30" spans="3:3" ht="12.75" customHeight="1">
      <c r="C30" s="2"/>
    </row>
    <row r="31" spans="3:3" ht="12.75" customHeight="1">
      <c r="C31" s="2"/>
    </row>
    <row r="32" spans="3:3" ht="12.75" customHeight="1">
      <c r="C32" s="2"/>
    </row>
    <row r="33" spans="3:3" ht="12.75" customHeight="1">
      <c r="C33" s="2"/>
    </row>
    <row r="34" spans="3:3" ht="12.75" customHeight="1">
      <c r="C34" s="2"/>
    </row>
    <row r="35" spans="3:3" ht="12.75" customHeight="1">
      <c r="C35" s="2"/>
    </row>
    <row r="36" spans="3:3" ht="12.75" customHeight="1">
      <c r="C36" s="2"/>
    </row>
    <row r="37" spans="3:3" ht="12.75" customHeight="1">
      <c r="C37" s="2"/>
    </row>
    <row r="38" spans="3:3" ht="12.75" customHeight="1">
      <c r="C38" s="2"/>
    </row>
    <row r="39" spans="3:3" ht="12.75" customHeight="1">
      <c r="C39" s="2"/>
    </row>
    <row r="40" spans="3:3" ht="12.75" customHeight="1"/>
    <row r="41" spans="3:3" ht="12.75" customHeight="1"/>
    <row r="42" spans="3:3" ht="12.75" customHeight="1"/>
    <row r="43" spans="3:3" ht="12.75" customHeight="1"/>
    <row r="44" spans="3:3" ht="12.75" customHeight="1"/>
    <row r="45" spans="3:3" ht="12.75" customHeight="1"/>
    <row r="46" spans="3:3" ht="12.75" customHeight="1">
      <c r="C46" s="2"/>
    </row>
    <row r="47" spans="3:3" ht="12.75" customHeight="1">
      <c r="C47" s="2"/>
    </row>
    <row r="48" spans="3:3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</sheetData>
  <mergeCells count="2">
    <mergeCell ref="A1:C1"/>
    <mergeCell ref="E1:G1"/>
  </mergeCells>
  <pageMargins left="0.75" right="0.75" top="1" bottom="1" header="0.5" footer="0.5"/>
  <pageSetup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Template</vt:lpstr>
      <vt:lpstr>TemplateCode</vt:lpstr>
      <vt:lpstr>dept</vt:lpstr>
      <vt:lpstr>xb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Loc Thi Ha - SMD</cp:lastModifiedBy>
  <cp:revision/>
  <dcterms:created xsi:type="dcterms:W3CDTF">2016-05-24T00:42:58Z</dcterms:created>
  <dcterms:modified xsi:type="dcterms:W3CDTF">2019-11-23T06:57:26Z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2052-10.1.0.6135</vt:lpwstr>
  </property>
</Properties>
</file>