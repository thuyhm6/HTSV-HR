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emplateCode" r:id="rId4" sheetId="2"/>
  </sheets>
  <definedNames>
    <definedName name="cbzx">Template!$AB$24</definedName>
    <definedName name="dept">TemplateCode!$I$2:$I$42</definedName>
    <definedName name="dj">TemplateCode!$M$2:$M$19</definedName>
    <definedName name="gj">TemplateCode!$AO$2:$AO$4</definedName>
    <definedName name="jhqf">TemplateCode!$AW$2:$AW$4</definedName>
    <definedName name="minzu">TemplateCode!$AS$2:$AS$56</definedName>
    <definedName name="rs">TemplateCode!$A$2:$A$4</definedName>
    <definedName name="rsxj">TemplateCode!$E$2:$E$6</definedName>
    <definedName name="xb">TemplateCode!$AK$2:$AK$3</definedName>
    <definedName name="yglx">TemplateCode!$Y$2:$Y$6</definedName>
    <definedName name="zq">TemplateCode!$AC$2:$AC$3</definedName>
    <definedName name="zyyw">TemplateCode!$Q$2:$Q$102</definedName>
    <definedName name="zz">TemplateCode!$U$2:$U$10</definedName>
    <definedName name="zzxl">TemplateCode!$AG$2:$AG$10</definedName>
  </definedNames>
</workbook>
</file>

<file path=xl/sharedStrings.xml><?xml version="1.0" encoding="utf-8"?>
<sst xmlns="http://schemas.openxmlformats.org/spreadsheetml/2006/main" count="1088" uniqueCount="805">
  <si>
    <t>Red font: you must enter a project</t>
  </si>
  <si>
    <t>Blue font: code item</t>
  </si>
  <si>
    <t>Gray BK: this is a sample data</t>
  </si>
  <si>
    <t>Before the file is uploaded, delete the above 4 rows and sample data</t>
  </si>
  <si>
    <t>EMPLOYEE NUMBER</t>
  </si>
  <si>
    <t>VIETNAMESE NAME</t>
  </si>
  <si>
    <t>ENGLISH NAME</t>
  </si>
  <si>
    <t>BIRTHDAY</t>
  </si>
  <si>
    <t>ENTRY DATE</t>
  </si>
  <si>
    <t>PROBATION END DATE</t>
  </si>
  <si>
    <t>JOIN COMPANY</t>
  </si>
  <si>
    <t>JOIN COMPANY DETAILS</t>
  </si>
  <si>
    <t>DEPARTMENT (Code/Name)</t>
  </si>
  <si>
    <t>DEPARTMENT</t>
  </si>
  <si>
    <t>RANK (Code/Name)</t>
  </si>
  <si>
    <t>RANK</t>
  </si>
  <si>
    <t>MAJOR BUSINESS (Code/Name)</t>
  </si>
  <si>
    <t>MAJOR BUSINESS</t>
  </si>
  <si>
    <t>DUTY (Code/Name)</t>
  </si>
  <si>
    <t>DUTY</t>
  </si>
  <si>
    <t>EMPLOYEE TYPE (Code/Name)</t>
  </si>
  <si>
    <t>EMPLOYEE TYPE</t>
  </si>
  <si>
    <t>POST GROUP (Code/Name)</t>
  </si>
  <si>
    <t>POST GROUP</t>
  </si>
  <si>
    <t>EDUCATION (Code/Name)</t>
  </si>
  <si>
    <t>EDUCATION</t>
  </si>
  <si>
    <t>GRADUATION DATE</t>
  </si>
  <si>
    <t>GRADUATE SCHOOL</t>
  </si>
  <si>
    <t>MAJOR</t>
  </si>
  <si>
    <t>ID NUMBER</t>
  </si>
  <si>
    <t>SIGNING DATE</t>
  </si>
  <si>
    <t>SIGNING ORGANIZATION</t>
  </si>
  <si>
    <t>GENDER (Code/Name)</t>
  </si>
  <si>
    <t>GENDER</t>
  </si>
  <si>
    <t>NATIONALITY (Code/Name)</t>
  </si>
  <si>
    <t>NATIONALITY</t>
  </si>
  <si>
    <t>NATION (Code/Name)</t>
  </si>
  <si>
    <t>NATION</t>
  </si>
  <si>
    <t>RELIGION</t>
  </si>
  <si>
    <t>MARRIAGE DISTINCTION (Code/Name)</t>
  </si>
  <si>
    <t>MARRIAGE DISTINCTION</t>
  </si>
  <si>
    <t>PERSONAL MAILBOX</t>
  </si>
  <si>
    <t>EagleM ID</t>
  </si>
  <si>
    <t>HOME PHONE</t>
  </si>
  <si>
    <t>PHONE NUMBER</t>
  </si>
  <si>
    <t>PRESENT ADDRESS</t>
  </si>
  <si>
    <t>REGISTERRED RESIDENCE</t>
  </si>
  <si>
    <t/>
  </si>
  <si>
    <t>HA140</t>
  </si>
  <si>
    <t>ho.selorgstddt</t>
  </si>
  <si>
    <t>HA191</t>
  </si>
  <si>
    <t>30/12/2017</t>
  </si>
  <si>
    <t>JOIN COMPANY (Code/Name)</t>
  </si>
  <si>
    <t>JOIN COMPANY DETAILS (Code/Name)</t>
  </si>
  <si>
    <t>400414 &gt; Mới tốt nghiệp</t>
  </si>
  <si>
    <t>400414</t>
  </si>
  <si>
    <t>Mới tốt nghiệp</t>
  </si>
  <si>
    <t>400435 &gt; Kinh nghiệm</t>
  </si>
  <si>
    <t>400435</t>
  </si>
  <si>
    <t>Kinh nghiệm</t>
  </si>
  <si>
    <t>400429 &gt; Chuyên gia</t>
  </si>
  <si>
    <t>400429</t>
  </si>
  <si>
    <t>Chuyên gia</t>
  </si>
  <si>
    <t>90000309 &gt; Thời gian tốt nghiệp quy định</t>
  </si>
  <si>
    <t>90000309</t>
  </si>
  <si>
    <t>Thời gian tốt nghiệp quy định</t>
  </si>
  <si>
    <t>90000310 &gt; Bất cứ khi nào</t>
  </si>
  <si>
    <t>90000310</t>
  </si>
  <si>
    <t>Bất cứ khi nào</t>
  </si>
  <si>
    <t>90000311 &gt; Kinh nghiệm</t>
  </si>
  <si>
    <t>90000311</t>
  </si>
  <si>
    <t>90000312 &gt; Tuyển dụng lại</t>
  </si>
  <si>
    <t>90000312</t>
  </si>
  <si>
    <t>Tuyển dụng lại</t>
  </si>
  <si>
    <t>90000313 &gt; Điều chuyển từ đối tác</t>
  </si>
  <si>
    <t>90000313</t>
  </si>
  <si>
    <t>Điều chuyển từ đối tác</t>
  </si>
  <si>
    <t>D11EV000 &gt; HTSV</t>
  </si>
  <si>
    <t>D11EV000</t>
  </si>
  <si>
    <t>HTSV</t>
  </si>
  <si>
    <t>D11EV200 &gt; Manufacturing Technology TEAM</t>
  </si>
  <si>
    <t>D11EV200</t>
  </si>
  <si>
    <t>Manufacturing Technology TEAM</t>
  </si>
  <si>
    <t>D11EV230 &gt; Engineering PART</t>
  </si>
  <si>
    <t>D11EV230</t>
  </si>
  <si>
    <t>Engineering PART</t>
  </si>
  <si>
    <t>D11EV220 &gt; Mecha PART</t>
  </si>
  <si>
    <t>D11EV220</t>
  </si>
  <si>
    <t>Mecha PART</t>
  </si>
  <si>
    <t>D11EV210 &gt; Circuit PART</t>
  </si>
  <si>
    <t>D11EV210</t>
  </si>
  <si>
    <t>Circuit PART</t>
  </si>
  <si>
    <t>D11EV240 &gt; Technology Development PART</t>
  </si>
  <si>
    <t>D11EV240</t>
  </si>
  <si>
    <t>Technology Development PART</t>
  </si>
  <si>
    <t xml:space="preserve">D11EV400 &gt; Manufacturing Management TEAM </t>
  </si>
  <si>
    <t>D11EV400</t>
  </si>
  <si>
    <t xml:space="preserve">Manufacturing Management TEAM </t>
  </si>
  <si>
    <t>D11EV410 &gt; Manufacturing Management PART</t>
  </si>
  <si>
    <t>D11EV410</t>
  </si>
  <si>
    <t>Manufacturing Management PART</t>
  </si>
  <si>
    <t>D11EV420 &gt; Outsourcing Management PART</t>
  </si>
  <si>
    <t>D11EV420</t>
  </si>
  <si>
    <t>Outsourcing Management PART</t>
  </si>
  <si>
    <t>D11EV440 &gt; Finish Product Warehouse PART</t>
  </si>
  <si>
    <t>D11EV440</t>
  </si>
  <si>
    <t>Finish Product Warehouse PART</t>
  </si>
  <si>
    <t>D11EV530 &gt; Material Warehouse PART</t>
  </si>
  <si>
    <t>D11EV530</t>
  </si>
  <si>
    <t>Material Warehouse PART</t>
  </si>
  <si>
    <t>D11EV100 &gt; Manufacturing TEAM</t>
  </si>
  <si>
    <t>D11EV100</t>
  </si>
  <si>
    <t>Manufacturing TEAM</t>
  </si>
  <si>
    <t>D11EV120 &gt; VCL Manufacturing PART</t>
  </si>
  <si>
    <t>D11EV120</t>
  </si>
  <si>
    <t>VCL Manufacturing PART</t>
  </si>
  <si>
    <t>D11EV110 &gt; Main Manufacturing PART</t>
  </si>
  <si>
    <t>D11EV110</t>
  </si>
  <si>
    <t>Main Manufacturing PART</t>
  </si>
  <si>
    <t>D11EV140 &gt; SMD PART</t>
  </si>
  <si>
    <t>D11EV140</t>
  </si>
  <si>
    <t>SMD PART</t>
  </si>
  <si>
    <t>D11EV150 &gt; PBA PART</t>
  </si>
  <si>
    <t>D11EV150</t>
  </si>
  <si>
    <t>PBA PART</t>
  </si>
  <si>
    <t>D11EV130 &gt; Innovation PART</t>
  </si>
  <si>
    <t>D11EV130</t>
  </si>
  <si>
    <t>Innovation PART</t>
  </si>
  <si>
    <t>D11EV500 &gt; Purchasing TEAM</t>
  </si>
  <si>
    <t>D11EV500</t>
  </si>
  <si>
    <t>Purchasing TEAM</t>
  </si>
  <si>
    <t xml:space="preserve">D11EV570 &gt; Mecha Purchasing PART </t>
  </si>
  <si>
    <t>D11EV570</t>
  </si>
  <si>
    <t xml:space="preserve">Mecha Purchasing PART </t>
  </si>
  <si>
    <t>D11EV520 &gt; Procurement PART</t>
  </si>
  <si>
    <t>D11EV520</t>
  </si>
  <si>
    <t>Procurement PART</t>
  </si>
  <si>
    <t>D11EV540 &gt; Electronics Purchasing PART</t>
  </si>
  <si>
    <t>D11EV540</t>
  </si>
  <si>
    <t>Electronics Purchasing PART</t>
  </si>
  <si>
    <t xml:space="preserve">D11EV510 &gt; Sourcing PART </t>
  </si>
  <si>
    <t>D11EV510</t>
  </si>
  <si>
    <t xml:space="preserve">Sourcing PART </t>
  </si>
  <si>
    <t>D11EV300 &gt; Quality Assurance TEAM</t>
  </si>
  <si>
    <t>D11EV300</t>
  </si>
  <si>
    <t>Quality Assurance TEAM</t>
  </si>
  <si>
    <t>D11EV310 &gt; Product Assurance PART</t>
  </si>
  <si>
    <t>D11EV310</t>
  </si>
  <si>
    <t>Product Assurance PART</t>
  </si>
  <si>
    <t>D11EV320 &gt; Component Assurance PART</t>
  </si>
  <si>
    <t>D11EV320</t>
  </si>
  <si>
    <t>Component Assurance PART</t>
  </si>
  <si>
    <t>D11EV330 &gt; CS PART</t>
  </si>
  <si>
    <t>D11EV330</t>
  </si>
  <si>
    <t>CS PART</t>
  </si>
  <si>
    <t>D11EV331 &gt; CS Operation PART</t>
  </si>
  <si>
    <t>D11EV331</t>
  </si>
  <si>
    <t>CS Operation PART</t>
  </si>
  <si>
    <t>D11EV940 &gt; SQE PART</t>
  </si>
  <si>
    <t>D11EV940</t>
  </si>
  <si>
    <t>SQE PART</t>
  </si>
  <si>
    <t>D11EV801 &gt; HR TEAM</t>
  </si>
  <si>
    <t>D11EV801</t>
  </si>
  <si>
    <t>HR TEAM</t>
  </si>
  <si>
    <t>D11EV811 &gt; HR PART</t>
  </si>
  <si>
    <t>D11EV811</t>
  </si>
  <si>
    <t>HR PART</t>
  </si>
  <si>
    <t>D11EV831 &gt; Environment&amp;Safety PART</t>
  </si>
  <si>
    <t>D11EV831</t>
  </si>
  <si>
    <t>Environment&amp;Safety PART</t>
  </si>
  <si>
    <t>D11EV821 &gt; GA PART</t>
  </si>
  <si>
    <t>D11EV821</t>
  </si>
  <si>
    <t>GA PART</t>
  </si>
  <si>
    <t>D11EV640 &gt; Utility PART</t>
  </si>
  <si>
    <t>D11EV640</t>
  </si>
  <si>
    <t>Utility PART</t>
  </si>
  <si>
    <t>D11EV901 &gt; Administration &amp; Finance TEAM</t>
  </si>
  <si>
    <t>D11EV901</t>
  </si>
  <si>
    <t>Administration &amp; Finance TEAM</t>
  </si>
  <si>
    <t>D11EV911 &gt; Finance PART</t>
  </si>
  <si>
    <t>D11EV911</t>
  </si>
  <si>
    <t>Finance PART</t>
  </si>
  <si>
    <t>D11EV921 &gt; IT PART</t>
  </si>
  <si>
    <t>D11EV921</t>
  </si>
  <si>
    <t>IT PART</t>
  </si>
  <si>
    <t>D11EV430 &gt; Logistics (Import) PART</t>
  </si>
  <si>
    <t>D11EV430</t>
  </si>
  <si>
    <t>Logistics (Import) PART</t>
  </si>
  <si>
    <t xml:space="preserve">D11EV451 &gt; Logistics (Export) PART </t>
  </si>
  <si>
    <t>D11EV451</t>
  </si>
  <si>
    <t xml:space="preserve">Logistics (Export) PART </t>
  </si>
  <si>
    <t>D11EV930 &gt; Sales TEAM</t>
  </si>
  <si>
    <t>D11EV930</t>
  </si>
  <si>
    <t>Sales TEAM</t>
  </si>
  <si>
    <t xml:space="preserve">D11EV560 &gt; IPO PART </t>
  </si>
  <si>
    <t>D11EV560</t>
  </si>
  <si>
    <t xml:space="preserve">IPO PART </t>
  </si>
  <si>
    <t>D11EV701 &gt; AI Support Part</t>
  </si>
  <si>
    <t>D11EV701</t>
  </si>
  <si>
    <t>AI Support Part</t>
  </si>
  <si>
    <t>90000314 &gt; GM</t>
  </si>
  <si>
    <t>90000314</t>
  </si>
  <si>
    <t>GM</t>
  </si>
  <si>
    <t>90000315 &gt; Director</t>
  </si>
  <si>
    <t>90000315</t>
  </si>
  <si>
    <t>Director</t>
  </si>
  <si>
    <t>90000316 &gt; S. Manager</t>
  </si>
  <si>
    <t>90000316</t>
  </si>
  <si>
    <t>S. Manager</t>
  </si>
  <si>
    <t>90000317 &gt; Manager</t>
  </si>
  <si>
    <t>90000317</t>
  </si>
  <si>
    <t>Manager</t>
  </si>
  <si>
    <t>90000318 &gt; A. Manager</t>
  </si>
  <si>
    <t>90000318</t>
  </si>
  <si>
    <t>A. Manager</t>
  </si>
  <si>
    <t>90000319 &gt; S. Staff</t>
  </si>
  <si>
    <t>90000319</t>
  </si>
  <si>
    <t>S. Staff</t>
  </si>
  <si>
    <t>90000320 &gt; Staff</t>
  </si>
  <si>
    <t>90000320</t>
  </si>
  <si>
    <t>Staff</t>
  </si>
  <si>
    <t>90000321 &gt; J. Staff 2</t>
  </si>
  <si>
    <t>90000321</t>
  </si>
  <si>
    <t>J. Staff 2</t>
  </si>
  <si>
    <t>90000322 &gt; J. Staff 1</t>
  </si>
  <si>
    <t>90000322</t>
  </si>
  <si>
    <t>J. Staff 1</t>
  </si>
  <si>
    <t>90000323 &gt; Foreman</t>
  </si>
  <si>
    <t>90000323</t>
  </si>
  <si>
    <t>Foreman</t>
  </si>
  <si>
    <t>90000324 &gt; S. Worker</t>
  </si>
  <si>
    <t>90000324</t>
  </si>
  <si>
    <t>S. Worker</t>
  </si>
  <si>
    <t>90000325 &gt; Worker</t>
  </si>
  <si>
    <t>90000325</t>
  </si>
  <si>
    <t>Worker</t>
  </si>
  <si>
    <t>90000382 &gt; Sub S. Worker</t>
  </si>
  <si>
    <t>90000382</t>
  </si>
  <si>
    <t>Sub S. Worker</t>
  </si>
  <si>
    <t>90000383 &gt; MS 1</t>
  </si>
  <si>
    <t>90000383</t>
  </si>
  <si>
    <t>MS 1</t>
  </si>
  <si>
    <t>90000384 &gt; MS 2</t>
  </si>
  <si>
    <t>90000384</t>
  </si>
  <si>
    <t>MS 2</t>
  </si>
  <si>
    <t>90000385 &gt; MS 3</t>
  </si>
  <si>
    <t>90000385</t>
  </si>
  <si>
    <t>MS 3</t>
  </si>
  <si>
    <t>90000386 &gt; MS 4</t>
  </si>
  <si>
    <t>90000386</t>
  </si>
  <si>
    <t>MS 4</t>
  </si>
  <si>
    <t>90000532 &gt; MS 5</t>
  </si>
  <si>
    <t>90000532</t>
  </si>
  <si>
    <t>MS 5</t>
  </si>
  <si>
    <t>400099 &gt; Tổng Giám đốc</t>
  </si>
  <si>
    <t>400099</t>
  </si>
  <si>
    <t>Tổng Giám đốc</t>
  </si>
  <si>
    <t>14015227 &gt; Quản lý chung</t>
  </si>
  <si>
    <t>14015227</t>
  </si>
  <si>
    <t>Quản lý chung</t>
  </si>
  <si>
    <t>14015228 &gt; Quản lý kinh doanh</t>
  </si>
  <si>
    <t>14015228</t>
  </si>
  <si>
    <t>Quản lý kinh doanh</t>
  </si>
  <si>
    <t>400100 &gt; Quản lý Phòng Tài chính Kế toán</t>
  </si>
  <si>
    <t>400100</t>
  </si>
  <si>
    <t>Quản lý Phòng Tài chính Kế toán</t>
  </si>
  <si>
    <t>14015229 &gt; Kế toán thuế</t>
  </si>
  <si>
    <t>14015229</t>
  </si>
  <si>
    <t>Kế toán thuế</t>
  </si>
  <si>
    <t>400101 &gt; Quản lý Giá thành</t>
  </si>
  <si>
    <t>400101</t>
  </si>
  <si>
    <t>Quản lý Giá thành</t>
  </si>
  <si>
    <t>14015230 &gt; Bán Hàng</t>
  </si>
  <si>
    <t>14015230</t>
  </si>
  <si>
    <t>Bán Hàng</t>
  </si>
  <si>
    <t>400102 &gt; Kế toán tổng hợp</t>
  </si>
  <si>
    <t>400102</t>
  </si>
  <si>
    <t>Kế toán tổng hợp</t>
  </si>
  <si>
    <t>400103 &gt; Quản lý Chiến lược</t>
  </si>
  <si>
    <t>400103</t>
  </si>
  <si>
    <t>Quản lý Chiến lược</t>
  </si>
  <si>
    <t>14015231 &gt; Quản lý thông tin hệ thống</t>
  </si>
  <si>
    <t>14015231</t>
  </si>
  <si>
    <t>Quản lý thông tin hệ thống</t>
  </si>
  <si>
    <t>14015232 &gt; Quản lý chung Hành chính Nhân sự</t>
  </si>
  <si>
    <t>14015232</t>
  </si>
  <si>
    <t>Quản lý chung Hành chính Nhân sự</t>
  </si>
  <si>
    <t>400104 &gt; Quản lý nguồn IT</t>
  </si>
  <si>
    <t>400104</t>
  </si>
  <si>
    <t>Quản lý nguồn IT</t>
  </si>
  <si>
    <t>400105 &gt; Quản lý Chung Phòng Nhân sự</t>
  </si>
  <si>
    <t>400105</t>
  </si>
  <si>
    <t>Quản lý Chung Phòng Nhân sự</t>
  </si>
  <si>
    <t>14015233 &gt; Kế hoạch nhân sự</t>
  </si>
  <si>
    <t>14015233</t>
  </si>
  <si>
    <t>Kế hoạch nhân sự</t>
  </si>
  <si>
    <t>14015234 &gt; Quản lý nhân sự</t>
  </si>
  <si>
    <t>14015234</t>
  </si>
  <si>
    <t>Quản lý nhân sự</t>
  </si>
  <si>
    <t>400106 &gt; Hoạt động nguồn nhân lực</t>
  </si>
  <si>
    <t>400106</t>
  </si>
  <si>
    <t>Hoạt động nguồn nhân lực</t>
  </si>
  <si>
    <t>14015235 &gt; Hoạt động đào tạo</t>
  </si>
  <si>
    <t>14015235</t>
  </si>
  <si>
    <t>Hoạt động đào tạo</t>
  </si>
  <si>
    <t>400107 &gt; Văn hóa tổ chức</t>
  </si>
  <si>
    <t>400107</t>
  </si>
  <si>
    <t>Văn hóa tổ chức</t>
  </si>
  <si>
    <t>14015236 &gt; Hành chính thông thường</t>
  </si>
  <si>
    <t>14015236</t>
  </si>
  <si>
    <t>Hành chính thông thường</t>
  </si>
  <si>
    <t>400108 &gt; Quản lý Chung Phòng Hành chính</t>
  </si>
  <si>
    <t>400108</t>
  </si>
  <si>
    <t>Quản lý Chung Phòng Hành chính</t>
  </si>
  <si>
    <t>14015237 &gt; Bảo vệ</t>
  </si>
  <si>
    <t>14015237</t>
  </si>
  <si>
    <t>Bảo vệ</t>
  </si>
  <si>
    <t>400109 &gt; Quản lý hệ thống công ty</t>
  </si>
  <si>
    <t>400109</t>
  </si>
  <si>
    <t>Quản lý hệ thống công ty</t>
  </si>
  <si>
    <t>14015238 &gt; Thư ký</t>
  </si>
  <si>
    <t>14015238</t>
  </si>
  <si>
    <t>Thư ký</t>
  </si>
  <si>
    <t>400110 &gt; Phiên dịch</t>
  </si>
  <si>
    <t>400110</t>
  </si>
  <si>
    <t>Phiên dịch</t>
  </si>
  <si>
    <t>14015239 &gt; Quản lý an toàn môi trường</t>
  </si>
  <si>
    <t>14015239</t>
  </si>
  <si>
    <t>Quản lý an toàn môi trường</t>
  </si>
  <si>
    <t>400111 &gt; Quản lý chung An toàn môi trường</t>
  </si>
  <si>
    <t>400111</t>
  </si>
  <si>
    <t>Quản lý chung An toàn môi trường</t>
  </si>
  <si>
    <t>14015240 &gt; Quản lý vật tư thiết bị</t>
  </si>
  <si>
    <t>14015240</t>
  </si>
  <si>
    <t>Quản lý vật tư thiết bị</t>
  </si>
  <si>
    <t>400112 &gt; Quản lý chung vật tư thiết bị</t>
  </si>
  <si>
    <t>400112</t>
  </si>
  <si>
    <t>Quản lý chung vật tư thiết bị</t>
  </si>
  <si>
    <t>400113 &gt; Quản lý chung Phòng Mua hàng</t>
  </si>
  <si>
    <t>400113</t>
  </si>
  <si>
    <t>Quản lý chung Phòng Mua hàng</t>
  </si>
  <si>
    <t>14015241 &gt; Quản lý chung phát triển mua hàng</t>
  </si>
  <si>
    <t>14015241</t>
  </si>
  <si>
    <t>Quản lý chung phát triển mua hàng</t>
  </si>
  <si>
    <t>14015242 &gt; Phát triển mua hàng</t>
  </si>
  <si>
    <t>14015242</t>
  </si>
  <si>
    <t>Phát triển mua hàng</t>
  </si>
  <si>
    <t>400114 &gt; Kế hoạch mua hàng</t>
  </si>
  <si>
    <t>400114</t>
  </si>
  <si>
    <t>Kế hoạch mua hàng</t>
  </si>
  <si>
    <t>14015243 &gt; Quản lý chung Mua hàng</t>
  </si>
  <si>
    <t>14015243</t>
  </si>
  <si>
    <t>Quản lý chung Mua hàng</t>
  </si>
  <si>
    <t>400115 &gt; Mua hàng thông thường</t>
  </si>
  <si>
    <t>400115</t>
  </si>
  <si>
    <t>Mua hàng thông thường</t>
  </si>
  <si>
    <t>14015244 &gt; Mua hàng trong nước</t>
  </si>
  <si>
    <t>14015244</t>
  </si>
  <si>
    <t>Mua hàng trong nước</t>
  </si>
  <si>
    <t>400116 &gt; Kế hoạch mua hàng</t>
  </si>
  <si>
    <t>400116</t>
  </si>
  <si>
    <t>14015245 &gt; Mua hàng thông thường</t>
  </si>
  <si>
    <t>14015245</t>
  </si>
  <si>
    <t>400117 &gt; Mua hàng nước ngoài</t>
  </si>
  <si>
    <t>400117</t>
  </si>
  <si>
    <t>Mua hàng nước ngoài</t>
  </si>
  <si>
    <t>14015246 &gt; Quản lý Nguyên liệu</t>
  </si>
  <si>
    <t>14015246</t>
  </si>
  <si>
    <t>Quản lý Nguyên liệu</t>
  </si>
  <si>
    <t>400118 &gt; Quản lý chung Quản lý Nguyên liệu</t>
  </si>
  <si>
    <t>400118</t>
  </si>
  <si>
    <t>Quản lý chung Quản lý Nguyên liệu</t>
  </si>
  <si>
    <t>14015247 &gt; Quản lý chung về Kỹ thuật bản mạch</t>
  </si>
  <si>
    <t>14015247</t>
  </si>
  <si>
    <t>Quản lý chung về Kỹ thuật bản mạch</t>
  </si>
  <si>
    <t>400119 &gt; Quản lý chung về Kỹ thuật</t>
  </si>
  <si>
    <t>400119</t>
  </si>
  <si>
    <t>Quản lý chung về Kỹ thuật</t>
  </si>
  <si>
    <t>14015248 &gt; Kỹ thuật công đoạn</t>
  </si>
  <si>
    <t>14015248</t>
  </si>
  <si>
    <t>Kỹ thuật công đoạn</t>
  </si>
  <si>
    <t>400120 &gt; Kỹ thuật điện, điện tử</t>
  </si>
  <si>
    <t>400120</t>
  </si>
  <si>
    <t>Kỹ thuật điện, điện tử</t>
  </si>
  <si>
    <t>400121 &gt; Kỹ thuật lắp ráp</t>
  </si>
  <si>
    <t>400121</t>
  </si>
  <si>
    <t>Kỹ thuật lắp ráp</t>
  </si>
  <si>
    <t>14015249 &gt; Kỹ thuật bên ngoài</t>
  </si>
  <si>
    <t>14015249</t>
  </si>
  <si>
    <t>Kỹ thuật bên ngoài</t>
  </si>
  <si>
    <t>14015250 &gt; Kỹ thuật cơ khí</t>
  </si>
  <si>
    <t>14015250</t>
  </si>
  <si>
    <t>Kỹ thuật cơ khí</t>
  </si>
  <si>
    <t>400122 &gt; Quản lý chung Kỹ thuật cơ khí</t>
  </si>
  <si>
    <t>400122</t>
  </si>
  <si>
    <t>Quản lý chung Kỹ thuật cơ khí</t>
  </si>
  <si>
    <t>14015251 &gt; Kỹ thuật công đoạn</t>
  </si>
  <si>
    <t>14015251</t>
  </si>
  <si>
    <t>400123 &gt; Thiết kế khuôn</t>
  </si>
  <si>
    <t>400123</t>
  </si>
  <si>
    <t>Thiết kế khuôn</t>
  </si>
  <si>
    <t>400124 &gt; Kỹ thuật lắp ráp</t>
  </si>
  <si>
    <t>400124</t>
  </si>
  <si>
    <t>14015252 &gt; Kỹ thuật bên ngoài</t>
  </si>
  <si>
    <t>14015252</t>
  </si>
  <si>
    <t xml:space="preserve">14015253 &gt; Thiết kế chế tạo </t>
  </si>
  <si>
    <t>14015253</t>
  </si>
  <si>
    <t xml:space="preserve">Thiết kế chế tạo </t>
  </si>
  <si>
    <t>400125 &gt; Quản lý Kỹ thuật chế tạo</t>
  </si>
  <si>
    <t>400125</t>
  </si>
  <si>
    <t>Quản lý Kỹ thuật chế tạo</t>
  </si>
  <si>
    <t>400126 &gt; Tự động hóa</t>
  </si>
  <si>
    <t>400126</t>
  </si>
  <si>
    <t>Tự động hóa</t>
  </si>
  <si>
    <t>14015254 &gt; Kỹ thuật máy móc thiết bị</t>
  </si>
  <si>
    <t>14015254</t>
  </si>
  <si>
    <t>Kỹ thuật máy móc thiết bị</t>
  </si>
  <si>
    <t>14015255 &gt; Quản lý chung về chất lượng SP</t>
  </si>
  <si>
    <t>14015255</t>
  </si>
  <si>
    <t>Quản lý chung về chất lượng SP</t>
  </si>
  <si>
    <t>400127 &gt; Quản lý chung về chất lượng</t>
  </si>
  <si>
    <t>400127</t>
  </si>
  <si>
    <t>Quản lý chung về chất lượng</t>
  </si>
  <si>
    <t>14015256 &gt; Độ tin cậy</t>
  </si>
  <si>
    <t>14015256</t>
  </si>
  <si>
    <t>Độ tin cậy</t>
  </si>
  <si>
    <t>400128 &gt; Kế hoạch chất lượng linh kiện</t>
  </si>
  <si>
    <t>400128</t>
  </si>
  <si>
    <t>Kế hoạch chất lượng linh kiện</t>
  </si>
  <si>
    <t>400129 &gt; Chất lượng SP gia công bên ngoài</t>
  </si>
  <si>
    <t>400129</t>
  </si>
  <si>
    <t>Chất lượng SP gia công bên ngoài</t>
  </si>
  <si>
    <t>14015257 &gt; Đảm bảo chất lượng SP xuất xưởng</t>
  </si>
  <si>
    <t>14015257</t>
  </si>
  <si>
    <t>Đảm bảo chất lượng SP xuất xưởng</t>
  </si>
  <si>
    <t>400130 &gt; Quản lý chung chất lượng linh kiện</t>
  </si>
  <si>
    <t>400130</t>
  </si>
  <si>
    <t>Quản lý chung chất lượng linh kiện</t>
  </si>
  <si>
    <t>14015258 &gt; Kế hoạch chất lượng linh kiện</t>
  </si>
  <si>
    <t>14015258</t>
  </si>
  <si>
    <t>14015259 &gt; Kiểm tra linh kiện</t>
  </si>
  <si>
    <t>14015259</t>
  </si>
  <si>
    <t>Kiểm tra linh kiện</t>
  </si>
  <si>
    <t>400131 &gt; Chất lượng SP gia công bên ngoài</t>
  </si>
  <si>
    <t>400131</t>
  </si>
  <si>
    <t>14015260 &gt; Quản lý chung sản xuất Main</t>
  </si>
  <si>
    <t>14015260</t>
  </si>
  <si>
    <t>Quản lý chung sản xuất Main</t>
  </si>
  <si>
    <t>400132 &gt; Quản lý chung sản xuất</t>
  </si>
  <si>
    <t>400132</t>
  </si>
  <si>
    <t>Quản lý chung sản xuất</t>
  </si>
  <si>
    <t>14015307 &gt; Lắp ráp SP</t>
  </si>
  <si>
    <t>14015307</t>
  </si>
  <si>
    <t>Lắp ráp SP</t>
  </si>
  <si>
    <t>400133 &gt; Lắp ráp SUB</t>
  </si>
  <si>
    <t>400133</t>
  </si>
  <si>
    <t>Lắp ráp SUB</t>
  </si>
  <si>
    <t>400134 &gt; Kiểm tra/đóng gói SP</t>
  </si>
  <si>
    <t>400134</t>
  </si>
  <si>
    <t>Kiểm tra/đóng gói SP</t>
  </si>
  <si>
    <t>400135 &gt; Hiện trường M/T</t>
  </si>
  <si>
    <t>400135</t>
  </si>
  <si>
    <t>Hiện trường M/T</t>
  </si>
  <si>
    <t>400136 &gt; Quản lý hiện trường</t>
  </si>
  <si>
    <t>400136</t>
  </si>
  <si>
    <t>Quản lý hiện trường</t>
  </si>
  <si>
    <t>400137 &gt; NV sửa chữa</t>
  </si>
  <si>
    <t>400137</t>
  </si>
  <si>
    <t>NV sửa chữa</t>
  </si>
  <si>
    <t>400138 &gt; Kho nguyên vật liệu</t>
  </si>
  <si>
    <t>400138</t>
  </si>
  <si>
    <t>Kho nguyên vật liệu</t>
  </si>
  <si>
    <t>400139 &gt; Đóng gói Kitting</t>
  </si>
  <si>
    <t>400139</t>
  </si>
  <si>
    <t>Đóng gói Kitting</t>
  </si>
  <si>
    <t>400140 &gt; Quản lý chung sản xuất VCL</t>
  </si>
  <si>
    <t>400140</t>
  </si>
  <si>
    <t>Quản lý chung sản xuất VCL</t>
  </si>
  <si>
    <t>400141 &gt; Lắp ráp SUB</t>
  </si>
  <si>
    <t>400141</t>
  </si>
  <si>
    <t>400142 &gt; Lắp ráp SP</t>
  </si>
  <si>
    <t>400142</t>
  </si>
  <si>
    <t>400143 &gt; Kiểm tra/đóng gói SP</t>
  </si>
  <si>
    <t>400143</t>
  </si>
  <si>
    <t>400144 &gt; Hiện trường M/T</t>
  </si>
  <si>
    <t>400144</t>
  </si>
  <si>
    <t xml:space="preserve">400145 &gt;  Lắp ráp D/N </t>
  </si>
  <si>
    <t>400145</t>
  </si>
  <si>
    <t xml:space="preserve"> Lắp ráp D/N </t>
  </si>
  <si>
    <t>400146 &gt; Quản lý hiện trường</t>
  </si>
  <si>
    <t>400146</t>
  </si>
  <si>
    <t>400147 &gt; NV sửa chữa</t>
  </si>
  <si>
    <t>400147</t>
  </si>
  <si>
    <t>400148 &gt; Quản lý chung cải tiến sản xuất</t>
  </si>
  <si>
    <t>400148</t>
  </si>
  <si>
    <t>Quản lý chung cải tiến sản xuất</t>
  </si>
  <si>
    <t>400149 &gt; Quản lý chỉ tiêu sản xuất</t>
  </si>
  <si>
    <t>400149</t>
  </si>
  <si>
    <t>Quản lý chỉ tiêu sản xuất</t>
  </si>
  <si>
    <t>400150 &gt; Cải tiến dây chuyền sản xuất</t>
  </si>
  <si>
    <t>400150</t>
  </si>
  <si>
    <t>Cải tiến dây chuyền sản xuất</t>
  </si>
  <si>
    <t>400151 &gt; Phân tích hiệu suất sản xuất</t>
  </si>
  <si>
    <t>400151</t>
  </si>
  <si>
    <t>Phân tích hiệu suất sản xuất</t>
  </si>
  <si>
    <t>400152 &gt; Quản lý cải tiến sản xuất</t>
  </si>
  <si>
    <t>400152</t>
  </si>
  <si>
    <t>Quản lý cải tiến sản xuất</t>
  </si>
  <si>
    <t>400153 &gt;  Quản lý chung kế hoạch sản xuất</t>
  </si>
  <si>
    <t>400153</t>
  </si>
  <si>
    <t xml:space="preserve"> Quản lý chung kế hoạch sản xuất</t>
  </si>
  <si>
    <t>400154 &gt; Quản lý chung kế hoạch sản xuất</t>
  </si>
  <si>
    <t>400154</t>
  </si>
  <si>
    <t>Quản lý chung kế hoạch sản xuất</t>
  </si>
  <si>
    <t>400155 &gt; Kế hoạch sản xuất</t>
  </si>
  <si>
    <t>400155</t>
  </si>
  <si>
    <t>Kế hoạch sản xuất</t>
  </si>
  <si>
    <t>400156 &gt;   Quản lý chung hàng gia công bên ngoài</t>
  </si>
  <si>
    <t>400156</t>
  </si>
  <si>
    <t xml:space="preserve">  Quản lý chung hàng gia công bên ngoài</t>
  </si>
  <si>
    <t>400157 &gt; Kế hoạch hàng gia công bên ngoài</t>
  </si>
  <si>
    <t>400157</t>
  </si>
  <si>
    <t>Kế hoạch hàng gia công bên ngoài</t>
  </si>
  <si>
    <t>400158 &gt; Quản lý chung xuất nhập khẩu</t>
  </si>
  <si>
    <t>400158</t>
  </si>
  <si>
    <t>Quản lý chung xuất nhập khẩu</t>
  </si>
  <si>
    <t>400159 &gt; Quản lý xuất nhập khẩu</t>
  </si>
  <si>
    <t>400159</t>
  </si>
  <si>
    <t>Quản lý xuất nhập khẩu</t>
  </si>
  <si>
    <t>400160 &gt; Thông quan</t>
  </si>
  <si>
    <t>400160</t>
  </si>
  <si>
    <t>Thông quan</t>
  </si>
  <si>
    <t>400161 &gt; Quản lý kho hàng</t>
  </si>
  <si>
    <t>400161</t>
  </si>
  <si>
    <t>Quản lý kho hàng</t>
  </si>
  <si>
    <t>90000438 &gt; Thiết bị gắn bề mặt</t>
  </si>
  <si>
    <t>90000438</t>
  </si>
  <si>
    <t>Thiết bị gắn bề mặt</t>
  </si>
  <si>
    <t>90000439 &gt; Lắp ráp bản mạch in</t>
  </si>
  <si>
    <t>90000439</t>
  </si>
  <si>
    <t>Lắp ráp bản mạch in</t>
  </si>
  <si>
    <t>90000519 &gt; Phân tích hình ảnh</t>
  </si>
  <si>
    <t>90000519</t>
  </si>
  <si>
    <t>Phân tích hình ảnh</t>
  </si>
  <si>
    <t>14014041 &gt; General Director</t>
  </si>
  <si>
    <t>14014041</t>
  </si>
  <si>
    <t>General Director</t>
  </si>
  <si>
    <t>14014043 &gt; Team Leader</t>
  </si>
  <si>
    <t>14014043</t>
  </si>
  <si>
    <t>Team Leader</t>
  </si>
  <si>
    <t>14016403 &gt; Part Leader</t>
  </si>
  <si>
    <t>14016403</t>
  </si>
  <si>
    <t>Part Leader</t>
  </si>
  <si>
    <t>14014037 &gt; Part Leader(A.Manager)</t>
  </si>
  <si>
    <t>14014037</t>
  </si>
  <si>
    <t>Part Leader(A.Manager)</t>
  </si>
  <si>
    <t>14014038 &gt; Foreman</t>
  </si>
  <si>
    <t>14014038</t>
  </si>
  <si>
    <t>14014040 &gt; S. Worker</t>
  </si>
  <si>
    <t>14014040</t>
  </si>
  <si>
    <t>14014042 &gt; Sub S. Worker</t>
  </si>
  <si>
    <t>14014042</t>
  </si>
  <si>
    <t>14016404 &gt; Line Leader</t>
  </si>
  <si>
    <t>14016404</t>
  </si>
  <si>
    <t>Line Leader</t>
  </si>
  <si>
    <t>80000013 &gt; Unit Leader</t>
  </si>
  <si>
    <t>80000013</t>
  </si>
  <si>
    <t>Unit Leader</t>
  </si>
  <si>
    <t>10420 &gt; Thử việc</t>
  </si>
  <si>
    <t>10420</t>
  </si>
  <si>
    <t>Thử việc</t>
  </si>
  <si>
    <t>10416 &gt; Thời vụ</t>
  </si>
  <si>
    <t>10416</t>
  </si>
  <si>
    <t>Thời vụ</t>
  </si>
  <si>
    <t>10414 &gt; Chính thức</t>
  </si>
  <si>
    <t>10414</t>
  </si>
  <si>
    <t>Chính thức</t>
  </si>
  <si>
    <t>10418 &gt; Người nước ngoài-điều động</t>
  </si>
  <si>
    <t>10418</t>
  </si>
  <si>
    <t>Người nước ngoài-điều động</t>
  </si>
  <si>
    <t>14015550 &gt; Người nước ngoài-tuyển dụng tại VN</t>
  </si>
  <si>
    <t>14015550</t>
  </si>
  <si>
    <t>Người nước ngoài-tuyển dụng tại VN</t>
  </si>
  <si>
    <t>14015813 &gt; NV hành chính</t>
  </si>
  <si>
    <t>14015813</t>
  </si>
  <si>
    <t>NV hành chính</t>
  </si>
  <si>
    <t>14015815 &gt; CN sản xuất</t>
  </si>
  <si>
    <t>14015815</t>
  </si>
  <si>
    <t>CN sản xuất</t>
  </si>
  <si>
    <t>10743 &gt; Tiểu học</t>
  </si>
  <si>
    <t>10743</t>
  </si>
  <si>
    <t>Tiểu học</t>
  </si>
  <si>
    <t>10742 &gt; THCS</t>
  </si>
  <si>
    <t>10742</t>
  </si>
  <si>
    <t>THCS</t>
  </si>
  <si>
    <t>10748 &gt; THPT</t>
  </si>
  <si>
    <t>10748</t>
  </si>
  <si>
    <t>THPT</t>
  </si>
  <si>
    <t>10746 &gt; Trung cấp chuyên nghiệp</t>
  </si>
  <si>
    <t>10746</t>
  </si>
  <si>
    <t>Trung cấp chuyên nghiệp</t>
  </si>
  <si>
    <t>10741 &gt; Trung cấp nghề</t>
  </si>
  <si>
    <t>10741</t>
  </si>
  <si>
    <t>Trung cấp nghề</t>
  </si>
  <si>
    <t>14013904 &gt; Cao đẳng nghề</t>
  </si>
  <si>
    <t>14013904</t>
  </si>
  <si>
    <t>Cao đẳng nghề</t>
  </si>
  <si>
    <t>10738 &gt; Cao đẳng</t>
  </si>
  <si>
    <t>10738</t>
  </si>
  <si>
    <t>Cao đẳng</t>
  </si>
  <si>
    <t>10735 &gt; Đại học</t>
  </si>
  <si>
    <t>10735</t>
  </si>
  <si>
    <t>Đại học</t>
  </si>
  <si>
    <t>10733 &gt; Cao học</t>
  </si>
  <si>
    <t>10733</t>
  </si>
  <si>
    <t>Cao học</t>
  </si>
  <si>
    <t>1326 &gt; Nam</t>
  </si>
  <si>
    <t>1326</t>
  </si>
  <si>
    <t>Nam</t>
  </si>
  <si>
    <t>1325 &gt; Nữ</t>
  </si>
  <si>
    <t>1325</t>
  </si>
  <si>
    <t>Nữ</t>
  </si>
  <si>
    <t>873 &gt; Việt Nam</t>
  </si>
  <si>
    <t>873</t>
  </si>
  <si>
    <t>Việt Nam</t>
  </si>
  <si>
    <t>872 &gt; Hàn Quốc</t>
  </si>
  <si>
    <t>872</t>
  </si>
  <si>
    <t>Hàn Quốc</t>
  </si>
  <si>
    <t>875 &gt; Khác</t>
  </si>
  <si>
    <t>875</t>
  </si>
  <si>
    <t>Khác</t>
  </si>
  <si>
    <t>210996 &gt; Thanh</t>
  </si>
  <si>
    <t>210996</t>
  </si>
  <si>
    <t>Thanh</t>
  </si>
  <si>
    <t>210944 &gt; Nùng</t>
  </si>
  <si>
    <t>210944</t>
  </si>
  <si>
    <t>Nùng</t>
  </si>
  <si>
    <t>210945 &gt; Tày</t>
  </si>
  <si>
    <t>210945</t>
  </si>
  <si>
    <t>Tày</t>
  </si>
  <si>
    <t>210946 &gt; Thái</t>
  </si>
  <si>
    <t>210946</t>
  </si>
  <si>
    <t>Thái</t>
  </si>
  <si>
    <t>210947 &gt; Ba na</t>
  </si>
  <si>
    <t>210947</t>
  </si>
  <si>
    <t>Ba na</t>
  </si>
  <si>
    <t>210948 &gt; Cơ-ho</t>
  </si>
  <si>
    <t>210948</t>
  </si>
  <si>
    <t>Cơ-ho</t>
  </si>
  <si>
    <t>210949 &gt; Khmer</t>
  </si>
  <si>
    <t>210949</t>
  </si>
  <si>
    <t>Khmer</t>
  </si>
  <si>
    <t>210950 &gt; Khơ mú</t>
  </si>
  <si>
    <t>210950</t>
  </si>
  <si>
    <t>Khơ mú</t>
  </si>
  <si>
    <t>210951 &gt; Dao</t>
  </si>
  <si>
    <t>210951</t>
  </si>
  <si>
    <t>Dao</t>
  </si>
  <si>
    <t>210952 &gt; Mông</t>
  </si>
  <si>
    <t>210952</t>
  </si>
  <si>
    <t>Mông</t>
  </si>
  <si>
    <t>210953 &gt; Chăm</t>
  </si>
  <si>
    <t>210953</t>
  </si>
  <si>
    <t>Chăm</t>
  </si>
  <si>
    <t>210954 &gt; Ê đê</t>
  </si>
  <si>
    <t>210954</t>
  </si>
  <si>
    <t>Ê đê</t>
  </si>
  <si>
    <t>210955 &gt; Gia-rai</t>
  </si>
  <si>
    <t>210955</t>
  </si>
  <si>
    <t>Gia-rai</t>
  </si>
  <si>
    <t>210956 &gt; Hoa</t>
  </si>
  <si>
    <t>210956</t>
  </si>
  <si>
    <t>Hoa</t>
  </si>
  <si>
    <t>210957 &gt; Ngái</t>
  </si>
  <si>
    <t>210957</t>
  </si>
  <si>
    <t>Ngái</t>
  </si>
  <si>
    <t>210958 &gt; Sán dìu</t>
  </si>
  <si>
    <t>210958</t>
  </si>
  <si>
    <t>Sán dìu</t>
  </si>
  <si>
    <t>210959 &gt; Cống</t>
  </si>
  <si>
    <t>210959</t>
  </si>
  <si>
    <t>Cống</t>
  </si>
  <si>
    <t>210960 &gt; Hà nhì</t>
  </si>
  <si>
    <t>210960</t>
  </si>
  <si>
    <t>Hà nhì</t>
  </si>
  <si>
    <t>210961 &gt; La hủ</t>
  </si>
  <si>
    <t>210961</t>
  </si>
  <si>
    <t>La hủ</t>
  </si>
  <si>
    <t>210962 &gt; Lô lô</t>
  </si>
  <si>
    <t>210962</t>
  </si>
  <si>
    <t>Lô lô</t>
  </si>
  <si>
    <t>210963 &gt; Phù lá</t>
  </si>
  <si>
    <t>210963</t>
  </si>
  <si>
    <t>Phù lá</t>
  </si>
  <si>
    <t>210964 &gt; Si la</t>
  </si>
  <si>
    <t>210964</t>
  </si>
  <si>
    <t>Si la</t>
  </si>
  <si>
    <t>210965 &gt; Chứt</t>
  </si>
  <si>
    <t>210965</t>
  </si>
  <si>
    <t>Chứt</t>
  </si>
  <si>
    <t>210966 &gt; Thổ</t>
  </si>
  <si>
    <t>210966</t>
  </si>
  <si>
    <t>Thổ</t>
  </si>
  <si>
    <t>210967 &gt; Bố Y</t>
  </si>
  <si>
    <t>210967</t>
  </si>
  <si>
    <t>Bố Y</t>
  </si>
  <si>
    <t>210968 &gt; Giáy</t>
  </si>
  <si>
    <t>210968</t>
  </si>
  <si>
    <t>Giáy</t>
  </si>
  <si>
    <t>210969 &gt; Lào</t>
  </si>
  <si>
    <t>210969</t>
  </si>
  <si>
    <t>Lào</t>
  </si>
  <si>
    <t>210970 &gt; Lự</t>
  </si>
  <si>
    <t>210970</t>
  </si>
  <si>
    <t>Lự</t>
  </si>
  <si>
    <t>210971 &gt; Sán Chay</t>
  </si>
  <si>
    <t>210971</t>
  </si>
  <si>
    <t>Sán Chay</t>
  </si>
  <si>
    <t>210972 &gt; Brâu</t>
  </si>
  <si>
    <t>210972</t>
  </si>
  <si>
    <t>Brâu</t>
  </si>
  <si>
    <t>210973 &gt; Bru-Vân kiều</t>
  </si>
  <si>
    <t>210973</t>
  </si>
  <si>
    <t>Bru-Vân kiều</t>
  </si>
  <si>
    <t>210974 &gt; Chơ-ro</t>
  </si>
  <si>
    <t>210974</t>
  </si>
  <si>
    <t>Chơ-ro</t>
  </si>
  <si>
    <t>210975 &gt; Co</t>
  </si>
  <si>
    <t>210975</t>
  </si>
  <si>
    <t>Co</t>
  </si>
  <si>
    <t>210976 &gt; Cơ-tu</t>
  </si>
  <si>
    <t>210976</t>
  </si>
  <si>
    <t>Cơ-tu</t>
  </si>
  <si>
    <t>210977 &gt; Gié-triêng</t>
  </si>
  <si>
    <t>210977</t>
  </si>
  <si>
    <t>Gié-triêng</t>
  </si>
  <si>
    <t>210978 &gt; Hrê</t>
  </si>
  <si>
    <t>210978</t>
  </si>
  <si>
    <t>Hrê</t>
  </si>
  <si>
    <t>210979 &gt; Kháng</t>
  </si>
  <si>
    <t>210979</t>
  </si>
  <si>
    <t>Kháng</t>
  </si>
  <si>
    <t>210980 &gt; Mạ</t>
  </si>
  <si>
    <t>210980</t>
  </si>
  <si>
    <t>Mạ</t>
  </si>
  <si>
    <t>210981 &gt; Mảng</t>
  </si>
  <si>
    <t>210981</t>
  </si>
  <si>
    <t>Mảng</t>
  </si>
  <si>
    <t>210982 &gt; M’Nông</t>
  </si>
  <si>
    <t>210982</t>
  </si>
  <si>
    <t>M’Nông</t>
  </si>
  <si>
    <t>210983 &gt; Ơ-đu</t>
  </si>
  <si>
    <t>210983</t>
  </si>
  <si>
    <t>Ơ-đu</t>
  </si>
  <si>
    <t>210984 &gt; Rơ-măm</t>
  </si>
  <si>
    <t>210984</t>
  </si>
  <si>
    <t>Rơ-măm</t>
  </si>
  <si>
    <t>210985 &gt; Tà-ôi</t>
  </si>
  <si>
    <t>210985</t>
  </si>
  <si>
    <t>Tà-ôi</t>
  </si>
  <si>
    <t>210986 &gt; Xinh-mun</t>
  </si>
  <si>
    <t>210986</t>
  </si>
  <si>
    <t>Xinh-mun</t>
  </si>
  <si>
    <t>210987 &gt; Xơ-đăng</t>
  </si>
  <si>
    <t>210987</t>
  </si>
  <si>
    <t>Xơ-đăng</t>
  </si>
  <si>
    <t>210988 &gt; Xtiêng</t>
  </si>
  <si>
    <t>210988</t>
  </si>
  <si>
    <t>Xtiêng</t>
  </si>
  <si>
    <t>210989 &gt; Pà thẻn</t>
  </si>
  <si>
    <t>210989</t>
  </si>
  <si>
    <t>Pà thẻn</t>
  </si>
  <si>
    <t>210990 &gt; Cờ lao</t>
  </si>
  <si>
    <t>210990</t>
  </si>
  <si>
    <t>Cờ lao</t>
  </si>
  <si>
    <t>210991 &gt; La Chí</t>
  </si>
  <si>
    <t>210991</t>
  </si>
  <si>
    <t>La Chí</t>
  </si>
  <si>
    <t>210992 &gt; La ha</t>
  </si>
  <si>
    <t>210992</t>
  </si>
  <si>
    <t>La ha</t>
  </si>
  <si>
    <t>210993 &gt; Pu péo</t>
  </si>
  <si>
    <t>210993</t>
  </si>
  <si>
    <t>Pu péo</t>
  </si>
  <si>
    <t>210994 &gt; Chu-ru</t>
  </si>
  <si>
    <t>210994</t>
  </si>
  <si>
    <t>Chu-ru</t>
  </si>
  <si>
    <t>210995 &gt; Ra-glai</t>
  </si>
  <si>
    <t>210995</t>
  </si>
  <si>
    <t>Ra-glai</t>
  </si>
  <si>
    <t>14015846 &gt; Kinh</t>
  </si>
  <si>
    <t>14015846</t>
  </si>
  <si>
    <t>Kinh</t>
  </si>
  <si>
    <t>210943 &gt; Mường</t>
  </si>
  <si>
    <t>210943</t>
  </si>
  <si>
    <t>Mường</t>
  </si>
  <si>
    <t>1711 &gt; Chưa kết hôn</t>
  </si>
  <si>
    <t>1711</t>
  </si>
  <si>
    <t>Chưa kết hôn</t>
  </si>
  <si>
    <t>1710 &gt; Đã kết hôn</t>
  </si>
  <si>
    <t>1710</t>
  </si>
  <si>
    <t>Đã kết hôn</t>
  </si>
  <si>
    <t>14016041 &gt; Ly hôn</t>
  </si>
  <si>
    <t>14016041</t>
  </si>
  <si>
    <t>Ly hôn</t>
  </si>
</sst>
</file>

<file path=xl/styles.xml><?xml version="1.0" encoding="utf-8"?>
<styleSheet xmlns="http://schemas.openxmlformats.org/spreadsheetml/2006/main">
  <numFmts count="1">
    <numFmt numFmtId="164" formatCode="yyyymmdd"/>
  </numFmts>
  <fonts count="14">
    <font>
      <sz val="11.0"/>
      <color indexed="8"/>
      <name val="Calibri"/>
      <family val="2"/>
      <scheme val="minor"/>
    </font>
    <font>
      <name val="宋体"/>
      <sz val="10.0"/>
      <b val="true"/>
      <u val="none"/>
      <color indexed="10"/>
    </font>
    <font>
      <name val="宋体"/>
      <sz val="10.0"/>
      <b val="true"/>
      <u val="none"/>
      <color indexed="12"/>
    </font>
    <font>
      <name val="宋体"/>
      <sz val="10.0"/>
      <b val="true"/>
      <u val="none"/>
      <color indexed="40"/>
    </font>
    <font>
      <name val="宋体"/>
      <sz val="10.0"/>
      <b val="true"/>
      <u val="none"/>
      <color indexed="8"/>
    </font>
    <font>
      <name val="宋体"/>
      <sz val="10.0"/>
      <b val="true"/>
      <u val="none"/>
      <color indexed="10"/>
    </font>
    <font>
      <name val="宋体"/>
      <sz val="10.0"/>
      <b val="true"/>
      <u val="none"/>
      <color indexed="8"/>
    </font>
    <font>
      <name val="宋体"/>
      <sz val="10.0"/>
      <b val="true"/>
      <u val="none"/>
      <color indexed="8"/>
    </font>
    <font>
      <name val="宋体"/>
      <sz val="10.0"/>
      <b val="true"/>
      <u val="none"/>
      <color indexed="8"/>
    </font>
    <font>
      <name val="Arial"/>
      <sz val="10.0"/>
      <b val="true"/>
      <u val="none"/>
      <color indexed="10"/>
    </font>
    <font>
      <name val="Arial"/>
      <sz val="10.0"/>
      <b val="true"/>
      <u val="none"/>
      <color indexed="8"/>
    </font>
    <font>
      <name val="Arial"/>
      <sz val="10.0"/>
      <b val="true"/>
      <u val="none"/>
      <color indexed="12"/>
    </font>
    <font>
      <name val="Arial"/>
      <sz val="10.0"/>
      <b val="true"/>
      <u val="none"/>
      <color indexed="8"/>
    </font>
    <font>
      <name val="Arial"/>
      <sz val="10.0"/>
      <b val="true"/>
      <u val="none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</fills>
  <borders count="18">
    <border>
      <left/>
      <right/>
      <top/>
      <bottom/>
      <diagonal/>
    </border>
    <border>
      <left/>
      <right/>
      <top>
        <color indexed="0"/>
      </top>
      <bottom/>
      <diagonal/>
    </border>
    <border>
      <left/>
      <right/>
      <top>
        <color indexed="0"/>
      </top>
      <bottom>
        <color indexed="0"/>
      </bottom>
      <diagonal/>
    </border>
    <border>
      <left>
        <color indexed="0"/>
      </left>
      <right/>
      <top>
        <color indexed="0"/>
      </top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/>
      <right/>
      <top/>
      <bottom style="thin"/>
      <diagonal/>
    </border>
    <border>
      <left/>
      <right/>
      <top>
        <color indexed="0"/>
      </top>
      <bottom style="thin"/>
      <diagonal/>
    </border>
    <border>
      <left/>
      <right/>
      <top>
        <color indexed="0"/>
      </top>
      <bottom style="thin">
        <color indexed="8"/>
      </bottom>
      <diagonal/>
    </border>
    <border>
      <left>
        <color indexed="0"/>
      </left>
      <right/>
      <top>
        <color indexed="0"/>
      </top>
      <bottom style="thin">
        <color indexed="8"/>
      </bottom>
      <diagonal/>
    </border>
    <border>
      <left>
        <color indexed="0"/>
      </left>
      <right>
        <color indexed="0"/>
      </right>
      <top>
        <color indexed="0"/>
      </top>
      <bottom style="thin">
        <color indexed="8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49" fontId="1" fillId="4" borderId="4" xfId="0" applyNumberFormat="true" applyAlignment="true" applyBorder="true" applyFill="true" applyFont="true">
      <alignment horizontal="left" vertical="center" wrapText="true" textRotation="0" indent="0"/>
      <protection locked="true" hidden="false"/>
    </xf>
    <xf numFmtId="49" fontId="1" fillId="4" borderId="4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49" fontId="2" fillId="4" borderId="4" xfId="0" applyNumberFormat="true" applyAlignment="true" applyBorder="true" applyFill="true" applyFont="true">
      <alignment horizontal="left" vertical="center" wrapText="true" textRotation="0" indent="0"/>
      <protection locked="true" hidden="false"/>
    </xf>
    <xf numFmtId="49" fontId="2" fillId="4" borderId="4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49" fontId="3" fillId="4" borderId="4" xfId="0" applyNumberFormat="true" applyAlignment="true" applyBorder="true" applyFill="true" applyFont="true">
      <alignment horizontal="left" vertical="center" wrapText="true" textRotation="0" indent="0"/>
      <protection locked="true" hidden="false"/>
    </xf>
    <xf numFmtId="49" fontId="3" fillId="4" borderId="4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49" fontId="4" fillId="4" borderId="9" xfId="0" applyNumberFormat="true" applyAlignment="true" applyBorder="true" applyFill="true" applyFont="true">
      <alignment horizontal="left" vertical="center" wrapText="true" textRotation="0" indent="0"/>
      <protection locked="true" hidden="false"/>
    </xf>
    <xf numFmtId="49" fontId="4" fillId="4" borderId="9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49" fontId="5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6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4" fontId="7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4" fontId="1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7" fillId="8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4" fillId="8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1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8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9" fillId="10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4" fontId="10" fillId="10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11" fillId="10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12" fillId="10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13" fillId="10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9" fillId="4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10" fillId="4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10" fillId="8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4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49" fontId="10" fillId="6" borderId="17" xfId="0" applyNumberFormat="true" applyAlignment="true" applyBorder="true" applyFill="true" applyFont="true">
      <alignment horizontal="center" vertical="center" wrapText="tru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F16"/>
  <sheetViews>
    <sheetView workbookViewId="0" tabSelected="true"/>
  </sheetViews>
  <sheetFormatPr defaultRowHeight="15.0"/>
  <cols>
    <col min="1" max="1" width="17.85546875" customWidth="true"/>
    <col min="2" max="2" width="17.85546875" customWidth="true"/>
    <col min="3" max="3" width="14.42578125" customWidth="true"/>
    <col min="4" max="4" width="11.0" customWidth="true"/>
    <col min="5" max="5" width="12.140625" customWidth="true"/>
    <col min="6" max="6" width="21.28515625" customWidth="true"/>
    <col min="7" max="7" width="14.7109375" customWidth="true"/>
    <col min="8" max="8" width="14.7109375" customWidth="true"/>
    <col min="9" max="9" width="14.7109375" customWidth="true"/>
    <col min="10" max="10" width="23.5703125" customWidth="true"/>
    <col min="11" max="11" width="23.5703125" customWidth="true"/>
    <col min="12" max="12" width="23.570312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9.42578125" customWidth="true"/>
    <col min="20" max="20" width="16.7109375" customWidth="true"/>
    <col min="21" max="21" width="16.7109375" customWidth="true"/>
    <col min="22" max="22" width="14.7109375" customWidth="true"/>
    <col min="23" max="23" width="14.7109375" customWidth="true"/>
    <col min="24" max="24" width="14.7109375" customWidth="true"/>
    <col min="25" max="25" width="20.28515625" customWidth="true"/>
    <col min="26" max="26" width="15.5703125" customWidth="true"/>
    <col min="27" max="27" width="15.570312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7.85546875" customWidth="true"/>
    <col min="35" max="35" width="17.85546875" customWidth="true"/>
    <col min="36" max="36" width="14.7109375" customWidth="true"/>
    <col min="37" max="37" width="14.7109375" customWidth="true"/>
    <col min="38" max="38" width="14.7109375" customWidth="true"/>
    <col min="39" max="39" width="23.570312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23.5703125" customWidth="true"/>
    <col min="51" max="51" width="23.5703125" customWidth="true"/>
    <col min="52" max="52" width="23.5703125" customWidth="true"/>
    <col min="53" max="53" width="19.0" customWidth="true"/>
    <col min="54" max="54" width="14.7109375" customWidth="true"/>
    <col min="55" max="55" width="14.7109375" customWidth="true"/>
    <col min="56" max="56" width="14.7109375" customWidth="true"/>
    <col min="57" max="57" width="17.85546875" customWidth="true"/>
    <col min="58" max="58" width="24.7109375" customWidth="true"/>
  </cols>
  <sheetData>
    <row r="1" ht="12.75" customHeight="tru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ht="12.75" customHeight="true">
      <c r="A2" s="3" t="s">
        <v>1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ht="12.75" customHeight="true">
      <c r="A3" s="5" t="s">
        <v>2</v>
      </c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ht="12.75" customHeight="true">
      <c r="A4" s="7" t="s">
        <v>3</v>
      </c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ht="23.25" customHeight="true">
      <c r="A5" s="9" t="s">
        <v>4</v>
      </c>
      <c r="B5" s="9" t="s">
        <v>5</v>
      </c>
      <c r="C5" s="10" t="s">
        <v>6</v>
      </c>
      <c r="D5" s="11" t="s">
        <v>7</v>
      </c>
      <c r="E5" s="12" t="s">
        <v>8</v>
      </c>
      <c r="F5" s="11" t="s">
        <v>9</v>
      </c>
      <c r="G5" s="9" t="s">
        <v>10</v>
      </c>
      <c r="H5" s="13" t="s">
        <v>10</v>
      </c>
      <c r="I5" s="14" t="s">
        <v>10</v>
      </c>
      <c r="J5" s="9" t="s">
        <v>11</v>
      </c>
      <c r="K5" s="13" t="s">
        <v>11</v>
      </c>
      <c r="L5" s="14" t="s">
        <v>11</v>
      </c>
      <c r="M5" s="15" t="s">
        <v>12</v>
      </c>
      <c r="N5" s="14" t="s">
        <v>13</v>
      </c>
      <c r="O5" s="14" t="s">
        <v>13</v>
      </c>
      <c r="P5" s="15" t="s">
        <v>14</v>
      </c>
      <c r="Q5" s="13" t="s">
        <v>15</v>
      </c>
      <c r="R5" s="14" t="s">
        <v>15</v>
      </c>
      <c r="S5" s="15" t="s">
        <v>16</v>
      </c>
      <c r="T5" s="13" t="s">
        <v>17</v>
      </c>
      <c r="U5" s="14" t="s">
        <v>17</v>
      </c>
      <c r="V5" s="10" t="s">
        <v>18</v>
      </c>
      <c r="W5" s="13" t="s">
        <v>19</v>
      </c>
      <c r="X5" s="14" t="s">
        <v>19</v>
      </c>
      <c r="Y5" s="15" t="s">
        <v>20</v>
      </c>
      <c r="Z5" s="14" t="s">
        <v>21</v>
      </c>
      <c r="AA5" s="14" t="s">
        <v>21</v>
      </c>
      <c r="AB5" s="15" t="s">
        <v>22</v>
      </c>
      <c r="AC5" s="13" t="s">
        <v>23</v>
      </c>
      <c r="AD5" s="14" t="s">
        <v>23</v>
      </c>
      <c r="AE5" s="16" t="s">
        <v>24</v>
      </c>
      <c r="AF5" s="14" t="s">
        <v>25</v>
      </c>
      <c r="AG5" s="14" t="s">
        <v>25</v>
      </c>
      <c r="AH5" s="11" t="s">
        <v>26</v>
      </c>
      <c r="AI5" s="14" t="s">
        <v>27</v>
      </c>
      <c r="AJ5" s="14" t="s">
        <v>28</v>
      </c>
      <c r="AK5" s="14" t="s">
        <v>29</v>
      </c>
      <c r="AL5" s="14" t="s">
        <v>30</v>
      </c>
      <c r="AM5" s="14" t="s">
        <v>31</v>
      </c>
      <c r="AN5" s="15" t="s">
        <v>32</v>
      </c>
      <c r="AO5" s="13" t="s">
        <v>33</v>
      </c>
      <c r="AP5" s="14" t="s">
        <v>33</v>
      </c>
      <c r="AQ5" s="15" t="s">
        <v>34</v>
      </c>
      <c r="AR5" s="13" t="s">
        <v>35</v>
      </c>
      <c r="AS5" s="14" t="s">
        <v>35</v>
      </c>
      <c r="AT5" s="15" t="s">
        <v>36</v>
      </c>
      <c r="AU5" s="13" t="s">
        <v>37</v>
      </c>
      <c r="AV5" s="14" t="s">
        <v>37</v>
      </c>
      <c r="AW5" s="14" t="s">
        <v>38</v>
      </c>
      <c r="AX5" s="15" t="s">
        <v>39</v>
      </c>
      <c r="AY5" s="13" t="s">
        <v>40</v>
      </c>
      <c r="AZ5" s="14" t="s">
        <v>40</v>
      </c>
      <c r="BA5" s="14" t="s">
        <v>41</v>
      </c>
      <c r="BB5" s="14" t="s">
        <v>42</v>
      </c>
      <c r="BC5" s="14" t="s">
        <v>43</v>
      </c>
      <c r="BD5" s="14" t="s">
        <v>44</v>
      </c>
      <c r="BE5" s="14" t="s">
        <v>45</v>
      </c>
      <c r="BF5" s="14" t="s">
        <v>46</v>
      </c>
    </row>
    <row r="6" ht="12.75" customHeight="true">
      <c r="A6" s="17" t="s">
        <v>47</v>
      </c>
      <c r="B6" s="17"/>
      <c r="C6" s="17"/>
      <c r="D6" s="18" t="n">
        <v>43099.0</v>
      </c>
      <c r="E6" s="18" t="n">
        <v>43099.0</v>
      </c>
      <c r="F6" s="18" t="n">
        <v>43099.0</v>
      </c>
      <c r="G6" s="19" t="s">
        <v>48</v>
      </c>
      <c r="H6" s="19"/>
      <c r="I6" s="19"/>
      <c r="J6" s="19" t="s">
        <v>48</v>
      </c>
      <c r="K6" s="19"/>
      <c r="L6" s="19"/>
      <c r="M6" s="17" t="s">
        <v>49</v>
      </c>
      <c r="N6" s="17"/>
      <c r="O6" s="17"/>
      <c r="P6" s="17" t="s">
        <v>49</v>
      </c>
      <c r="Q6" s="17"/>
      <c r="R6" s="17"/>
      <c r="S6" s="17" t="s">
        <v>49</v>
      </c>
      <c r="T6" s="17"/>
      <c r="U6" s="17"/>
      <c r="V6" s="17" t="s">
        <v>49</v>
      </c>
      <c r="W6" s="17"/>
      <c r="X6" s="17"/>
      <c r="Y6" s="17" t="s">
        <v>50</v>
      </c>
      <c r="Z6" s="17"/>
      <c r="AA6" s="17"/>
      <c r="AB6" s="17" t="s">
        <v>50</v>
      </c>
      <c r="AC6" s="17"/>
      <c r="AD6" s="17"/>
      <c r="AE6" s="20" t="s">
        <v>50</v>
      </c>
      <c r="AF6" s="17"/>
      <c r="AG6" s="17"/>
      <c r="AH6" s="18" t="n">
        <v>43099.0</v>
      </c>
      <c r="AI6" s="17"/>
      <c r="AJ6" s="17"/>
      <c r="AK6" s="17"/>
      <c r="AL6" s="21" t="s">
        <v>51</v>
      </c>
      <c r="AM6" s="17"/>
      <c r="AN6" s="17" t="s">
        <v>50</v>
      </c>
      <c r="AO6" s="17"/>
      <c r="AP6" s="17"/>
      <c r="AQ6" s="17" t="s">
        <v>50</v>
      </c>
      <c r="AR6" s="17"/>
      <c r="AS6" s="17"/>
      <c r="AT6" s="17" t="s">
        <v>50</v>
      </c>
      <c r="AU6" s="17"/>
      <c r="AV6" s="17"/>
      <c r="AW6" s="17"/>
      <c r="AX6" s="17" t="s">
        <v>50</v>
      </c>
      <c r="AY6" s="17"/>
      <c r="AZ6" s="17"/>
      <c r="BA6" s="17"/>
      <c r="BB6" s="17"/>
      <c r="BC6" s="17"/>
      <c r="BD6" s="17"/>
      <c r="BE6" s="17"/>
      <c r="BF6" s="17"/>
    </row>
    <row r="7" ht="12.75" customHeight="true">
      <c r="A7" s="22" t="s">
        <v>47</v>
      </c>
      <c r="B7" s="22"/>
      <c r="C7" s="23"/>
      <c r="D7" s="23"/>
      <c r="E7" s="22"/>
      <c r="F7" s="23"/>
      <c r="G7" s="22" t="s">
        <v>47</v>
      </c>
      <c r="H7" s="24">
        <f>IF(G7="","",VLOOKUP(G7,TemplateCode!$A$2:$C$450,2,FALSE))</f>
      </c>
      <c r="I7" s="24">
        <f>IF(G7="","",VLOOKUP(G7,TemplateCode!$A$2:$C$450,3,FALSE))</f>
      </c>
      <c r="J7" s="22" t="s">
        <v>47</v>
      </c>
      <c r="K7" s="24">
        <f>IF(J7="","",VLOOKUP(J7,TemplateCode!$E$2:$G$450,2,FALSE))</f>
      </c>
      <c r="L7" s="24">
        <f>IF(J7="","",VLOOKUP(J7,TemplateCode!$E$2:$G$450,3,FALSE))</f>
      </c>
      <c r="M7" s="22" t="s">
        <v>47</v>
      </c>
      <c r="N7" s="24">
        <f>IF(M7="","",VLOOKUP(M7,TemplateCode!$I$2:$K$999,2,FALSE))</f>
      </c>
      <c r="O7" s="24">
        <f>IF(M7="","",VLOOKUP(M7,TemplateCode!$I$2:$K$999,3,FALSE))</f>
      </c>
      <c r="P7" s="22" t="s">
        <v>47</v>
      </c>
      <c r="Q7" s="24">
        <f>IF(P7="","",VLOOKUP(P7,TemplateCode!$M$2:$O$450,2,FALSE))</f>
      </c>
      <c r="R7" s="24">
        <f>IF(P7="","",VLOOKUP(P7,TemplateCode!$M$2:$O$450,3,FALSE))</f>
      </c>
      <c r="S7" s="22" t="s">
        <v>47</v>
      </c>
      <c r="T7" s="24">
        <f>IF(S7="","",VLOOKUP(S7,TemplateCode!$Q$2:$S$450,2,FALSE))</f>
      </c>
      <c r="U7" s="24">
        <f>IF(S7="","",VLOOKUP(S7,TemplateCode!$Q$2:$S$450,3,FALSE))</f>
      </c>
      <c r="V7" s="22" t="s">
        <v>47</v>
      </c>
      <c r="W7" s="24">
        <f>IF(V7="","",VLOOKUP(V7,TemplateCode!$U$2:$W$450,2,FALSE))</f>
      </c>
      <c r="X7" s="24">
        <f>IF(V7="","",VLOOKUP(V7,TemplateCode!$U$2:$W$450,3,FALSE))</f>
      </c>
      <c r="Y7" s="22" t="s">
        <v>47</v>
      </c>
      <c r="Z7" s="24">
        <f>IF(Y7="","",VLOOKUP(Y7,TemplateCode!$Y$2:$AA$450,2,FALSE))</f>
      </c>
      <c r="AA7" s="24">
        <f>IF(Y7="","",VLOOKUP(Y7,TemplateCode!$Y$2:$AA$450,3,FALSE))</f>
      </c>
      <c r="AB7" s="22" t="s">
        <v>47</v>
      </c>
      <c r="AC7" s="24">
        <f>IF(AB7="","",VLOOKUP(AB7,TemplateCode!$AC$2:$AE$450,2,FALSE))</f>
      </c>
      <c r="AD7" s="24">
        <f>IF(AB7="","",VLOOKUP(AB7,TemplateCode!$AC$2:$AE$450,3,FALSE))</f>
      </c>
      <c r="AE7" s="22" t="s">
        <v>47</v>
      </c>
      <c r="AF7" s="24">
        <f>IF(AE7="","",VLOOKUP(AE7,TemplateCode!$AG$2:$AI$450,2,FALSE))</f>
      </c>
      <c r="AG7" s="24">
        <f>IF(AE7="","",VLOOKUP(AE7,TemplateCode!$AG$2:$AI$450,3,FALSE))</f>
      </c>
      <c r="AH7" s="23"/>
      <c r="AI7" s="23"/>
      <c r="AJ7" s="23"/>
      <c r="AK7" s="23"/>
      <c r="AL7" s="23"/>
      <c r="AM7" s="23"/>
      <c r="AN7" s="22" t="s">
        <v>47</v>
      </c>
      <c r="AO7" s="24">
        <f>IF(AN7="","",VLOOKUP(AN7,TemplateCode!$AK$2:$AM$450,2,FALSE))</f>
      </c>
      <c r="AP7" s="24">
        <f>IF(AN7="","",VLOOKUP(AN7,TemplateCode!$AK$2:$AM$450,3,FALSE))</f>
      </c>
      <c r="AQ7" s="22" t="s">
        <v>47</v>
      </c>
      <c r="AR7" s="24">
        <f>IF(AQ7="","",VLOOKUP(AQ7,TemplateCode!$AO$2:$AQ$450,2,FALSE))</f>
      </c>
      <c r="AS7" s="24">
        <f>IF(AQ7="","",VLOOKUP(AQ7,TemplateCode!$AO$2:$AQ$450,3,FALSE))</f>
      </c>
      <c r="AT7" s="22" t="s">
        <v>47</v>
      </c>
      <c r="AU7" s="24">
        <f>IF(AT7="","",VLOOKUP(AT7,TemplateCode!$AS$2:$AU$450,2,FALSE))</f>
      </c>
      <c r="AV7" s="24">
        <f>IF(AT7="","",VLOOKUP(AT7,TemplateCode!$AS$2:$AU$450,3,FALSE))</f>
      </c>
      <c r="AW7" s="23"/>
      <c r="AX7" s="22" t="s">
        <v>47</v>
      </c>
      <c r="AY7" s="24">
        <f>IF(AX7="","",VLOOKUP(AX7,TemplateCode!$AW$2:$AY$450,2,FALSE))</f>
      </c>
      <c r="AZ7" s="24">
        <f>IF(AX7="","",VLOOKUP(AX7,TemplateCode!$AW$2:$AY$450,3,FALSE))</f>
      </c>
      <c r="BA7" s="23"/>
      <c r="BB7" s="23"/>
      <c r="BC7" s="23"/>
      <c r="BD7" s="23"/>
      <c r="BE7" s="23"/>
      <c r="BF7" s="23"/>
    </row>
    <row r="8" ht="12.75" customHeight="true">
      <c r="A8" s="22" t="s">
        <v>47</v>
      </c>
      <c r="B8" s="22"/>
      <c r="C8" s="23"/>
      <c r="D8" s="23" t="s">
        <v>47</v>
      </c>
      <c r="E8" s="22" t="s">
        <v>47</v>
      </c>
      <c r="F8" s="23" t="s">
        <v>47</v>
      </c>
      <c r="G8" s="22" t="s">
        <v>47</v>
      </c>
      <c r="H8" s="24">
        <f>IF(G8="","",VLOOKUP(G8,TemplateCode!$A$2:$C$450,2,FALSE))</f>
      </c>
      <c r="I8" s="24">
        <f>IF(G8="","",VLOOKUP(G8,TemplateCode!$A$2:$C$450,3,FALSE))</f>
      </c>
      <c r="J8" s="22" t="s">
        <v>47</v>
      </c>
      <c r="K8" s="24">
        <f>IF(J8="","",VLOOKUP(J8,TemplateCode!$E$2:$G$450,2,FALSE))</f>
      </c>
      <c r="L8" s="24">
        <f>IF(J8="","",VLOOKUP(J8,TemplateCode!$E$2:$G$450,3,FALSE))</f>
      </c>
      <c r="M8" s="22" t="s">
        <v>47</v>
      </c>
      <c r="N8" s="24">
        <f>IF(M8="","",VLOOKUP(M8,TemplateCode!$I$2:$K$999,2,FALSE))</f>
      </c>
      <c r="O8" s="24">
        <f>IF(M8="","",VLOOKUP(M8,TemplateCode!$I$2:$K$999,3,FALSE))</f>
      </c>
      <c r="P8" s="22" t="s">
        <v>47</v>
      </c>
      <c r="Q8" s="24">
        <f>IF(P8="","",VLOOKUP(P8,TemplateCode!$M$2:$O$450,2,FALSE))</f>
      </c>
      <c r="R8" s="24">
        <f>IF(P8="","",VLOOKUP(P8,TemplateCode!$M$2:$O$450,3,FALSE))</f>
      </c>
      <c r="S8" s="22" t="s">
        <v>47</v>
      </c>
      <c r="T8" s="24">
        <f>IF(S8="","",VLOOKUP(S8,TemplateCode!$Q$2:$S$450,2,FALSE))</f>
      </c>
      <c r="U8" s="24">
        <f>IF(S8="","",VLOOKUP(S8,TemplateCode!$Q$2:$S$450,3,FALSE))</f>
      </c>
      <c r="V8" s="22" t="s">
        <v>47</v>
      </c>
      <c r="W8" s="24">
        <f>IF(V8="","",VLOOKUP(V8,TemplateCode!$U$2:$W$450,2,FALSE))</f>
      </c>
      <c r="X8" s="24">
        <f>IF(V8="","",VLOOKUP(V8,TemplateCode!$U$2:$W$450,3,FALSE))</f>
      </c>
      <c r="Y8" s="22" t="s">
        <v>47</v>
      </c>
      <c r="Z8" s="24">
        <f>IF(Y8="","",VLOOKUP(Y8,TemplateCode!$Y$2:$AA$450,2,FALSE))</f>
      </c>
      <c r="AA8" s="24">
        <f>IF(Y8="","",VLOOKUP(Y8,TemplateCode!$Y$2:$AA$450,3,FALSE))</f>
      </c>
      <c r="AB8" s="22" t="s">
        <v>47</v>
      </c>
      <c r="AC8" s="24">
        <f>IF(AB8="","",VLOOKUP(AB8,TemplateCode!$AC$2:$AE$450,2,FALSE))</f>
      </c>
      <c r="AD8" s="24">
        <f>IF(AB8="","",VLOOKUP(AB8,TemplateCode!$AC$2:$AE$450,3,FALSE))</f>
      </c>
      <c r="AE8" s="22" t="s">
        <v>47</v>
      </c>
      <c r="AF8" s="24">
        <f>IF(AE8="","",VLOOKUP(AE8,TemplateCode!$AG$2:$AI$450,2,FALSE))</f>
      </c>
      <c r="AG8" s="24">
        <f>IF(AE8="","",VLOOKUP(AE8,TemplateCode!$AG$2:$AI$450,3,FALSE))</f>
      </c>
      <c r="AH8" s="23" t="s">
        <v>47</v>
      </c>
      <c r="AI8" s="23" t="s">
        <v>47</v>
      </c>
      <c r="AJ8" s="23" t="s">
        <v>47</v>
      </c>
      <c r="AK8" s="23" t="s">
        <v>47</v>
      </c>
      <c r="AL8" s="23" t="s">
        <v>47</v>
      </c>
      <c r="AM8" s="23" t="s">
        <v>47</v>
      </c>
      <c r="AN8" s="22" t="s">
        <v>47</v>
      </c>
      <c r="AO8" s="24">
        <f>IF(AN8="","",VLOOKUP(AN8,TemplateCode!$AK$2:$AM$450,2,FALSE))</f>
      </c>
      <c r="AP8" s="24">
        <f>IF(AN8="","",VLOOKUP(AN8,TemplateCode!$AK$2:$AM$450,3,FALSE))</f>
      </c>
      <c r="AQ8" s="22" t="s">
        <v>47</v>
      </c>
      <c r="AR8" s="24">
        <f>IF(AQ8="","",VLOOKUP(AQ8,TemplateCode!$AO$2:$AQ$450,2,FALSE))</f>
      </c>
      <c r="AS8" s="24">
        <f>IF(AQ8="","",VLOOKUP(AQ8,TemplateCode!$AO$2:$AQ$450,3,FALSE))</f>
      </c>
      <c r="AT8" s="22" t="s">
        <v>47</v>
      </c>
      <c r="AU8" s="24">
        <f>IF(AT8="","",VLOOKUP(AT8,TemplateCode!$AS$2:$AU$450,2,FALSE))</f>
      </c>
      <c r="AV8" s="24">
        <f>IF(AT8="","",VLOOKUP(AT8,TemplateCode!$AS$2:$AU$450,3,FALSE))</f>
      </c>
      <c r="AW8" s="23" t="s">
        <v>47</v>
      </c>
      <c r="AX8" s="22" t="s">
        <v>47</v>
      </c>
      <c r="AY8" s="24">
        <f>IF(AX8="","",VLOOKUP(AX8,TemplateCode!$AW$2:$AY$450,2,FALSE))</f>
      </c>
      <c r="AZ8" s="24">
        <f>IF(AX8="","",VLOOKUP(AX8,TemplateCode!$AW$2:$AY$450,3,FALSE))</f>
      </c>
      <c r="BA8" s="23"/>
      <c r="BB8" s="23"/>
      <c r="BC8" s="23"/>
      <c r="BD8" s="23"/>
      <c r="BE8" s="23"/>
      <c r="BF8" s="23"/>
    </row>
    <row r="9" ht="12.75" customHeight="true">
      <c r="A9" s="22" t="s">
        <v>47</v>
      </c>
      <c r="B9" s="22"/>
      <c r="C9" s="23"/>
      <c r="D9" s="23" t="s">
        <v>47</v>
      </c>
      <c r="E9" s="22" t="s">
        <v>47</v>
      </c>
      <c r="F9" s="23" t="s">
        <v>47</v>
      </c>
      <c r="G9" s="22" t="s">
        <v>47</v>
      </c>
      <c r="H9" s="24">
        <f>IF(G9="","",VLOOKUP(G9,TemplateCode!$A$2:$C$450,2,FALSE))</f>
      </c>
      <c r="I9" s="24">
        <f>IF(G9="","",VLOOKUP(G9,TemplateCode!$A$2:$C$450,3,FALSE))</f>
      </c>
      <c r="J9" s="22" t="s">
        <v>47</v>
      </c>
      <c r="K9" s="24">
        <f>IF(J9="","",VLOOKUP(J9,TemplateCode!$E$2:$G$450,2,FALSE))</f>
      </c>
      <c r="L9" s="24">
        <f>IF(J9="","",VLOOKUP(J9,TemplateCode!$E$2:$G$450,3,FALSE))</f>
      </c>
      <c r="M9" s="22" t="s">
        <v>47</v>
      </c>
      <c r="N9" s="24">
        <f>IF(M9="","",VLOOKUP(M9,TemplateCode!$I$2:$K$999,2,FALSE))</f>
      </c>
      <c r="O9" s="24">
        <f>IF(M9="","",VLOOKUP(M9,TemplateCode!$I$2:$K$999,3,FALSE))</f>
      </c>
      <c r="P9" s="22" t="s">
        <v>47</v>
      </c>
      <c r="Q9" s="24">
        <f>IF(P9="","",VLOOKUP(P9,TemplateCode!$M$2:$O$450,2,FALSE))</f>
      </c>
      <c r="R9" s="24">
        <f>IF(P9="","",VLOOKUP(P9,TemplateCode!$M$2:$O$450,3,FALSE))</f>
      </c>
      <c r="S9" s="22" t="s">
        <v>47</v>
      </c>
      <c r="T9" s="24">
        <f>IF(S9="","",VLOOKUP(S9,TemplateCode!$Q$2:$S$450,2,FALSE))</f>
      </c>
      <c r="U9" s="24">
        <f>IF(S9="","",VLOOKUP(S9,TemplateCode!$Q$2:$S$450,3,FALSE))</f>
      </c>
      <c r="V9" s="22" t="s">
        <v>47</v>
      </c>
      <c r="W9" s="24">
        <f>IF(V9="","",VLOOKUP(V9,TemplateCode!$U$2:$W$450,2,FALSE))</f>
      </c>
      <c r="X9" s="24">
        <f>IF(V9="","",VLOOKUP(V9,TemplateCode!$U$2:$W$450,3,FALSE))</f>
      </c>
      <c r="Y9" s="22" t="s">
        <v>47</v>
      </c>
      <c r="Z9" s="24">
        <f>IF(Y9="","",VLOOKUP(Y9,TemplateCode!$Y$2:$AA$450,2,FALSE))</f>
      </c>
      <c r="AA9" s="24">
        <f>IF(Y9="","",VLOOKUP(Y9,TemplateCode!$Y$2:$AA$450,3,FALSE))</f>
      </c>
      <c r="AB9" s="22" t="s">
        <v>47</v>
      </c>
      <c r="AC9" s="24">
        <f>IF(AB9="","",VLOOKUP(AB9,TemplateCode!$AC$2:$AE$450,2,FALSE))</f>
      </c>
      <c r="AD9" s="24">
        <f>IF(AB9="","",VLOOKUP(AB9,TemplateCode!$AC$2:$AE$450,3,FALSE))</f>
      </c>
      <c r="AE9" s="22" t="s">
        <v>47</v>
      </c>
      <c r="AF9" s="24">
        <f>IF(AE9="","",VLOOKUP(AE9,TemplateCode!$AG$2:$AI$450,2,FALSE))</f>
      </c>
      <c r="AG9" s="24">
        <f>IF(AE9="","",VLOOKUP(AE9,TemplateCode!$AG$2:$AI$450,3,FALSE))</f>
      </c>
      <c r="AH9" s="23" t="s">
        <v>47</v>
      </c>
      <c r="AI9" s="23" t="s">
        <v>47</v>
      </c>
      <c r="AJ9" s="23" t="s">
        <v>47</v>
      </c>
      <c r="AK9" s="23" t="s">
        <v>47</v>
      </c>
      <c r="AL9" s="23" t="s">
        <v>47</v>
      </c>
      <c r="AM9" s="23" t="s">
        <v>47</v>
      </c>
      <c r="AN9" s="22" t="s">
        <v>47</v>
      </c>
      <c r="AO9" s="24">
        <f>IF(AN9="","",VLOOKUP(AN9,TemplateCode!$AK$2:$AM$450,2,FALSE))</f>
      </c>
      <c r="AP9" s="24">
        <f>IF(AN9="","",VLOOKUP(AN9,TemplateCode!$AK$2:$AM$450,3,FALSE))</f>
      </c>
      <c r="AQ9" s="22" t="s">
        <v>47</v>
      </c>
      <c r="AR9" s="24">
        <f>IF(AQ9="","",VLOOKUP(AQ9,TemplateCode!$AO$2:$AQ$450,2,FALSE))</f>
      </c>
      <c r="AS9" s="24">
        <f>IF(AQ9="","",VLOOKUP(AQ9,TemplateCode!$AO$2:$AQ$450,3,FALSE))</f>
      </c>
      <c r="AT9" s="22" t="s">
        <v>47</v>
      </c>
      <c r="AU9" s="24">
        <f>IF(AT9="","",VLOOKUP(AT9,TemplateCode!$AS$2:$AU$450,2,FALSE))</f>
      </c>
      <c r="AV9" s="24">
        <f>IF(AT9="","",VLOOKUP(AT9,TemplateCode!$AS$2:$AU$450,3,FALSE))</f>
      </c>
      <c r="AW9" s="23" t="s">
        <v>47</v>
      </c>
      <c r="AX9" s="22" t="s">
        <v>47</v>
      </c>
      <c r="AY9" s="24">
        <f>IF(AX9="","",VLOOKUP(AX9,TemplateCode!$AW$2:$AY$450,2,FALSE))</f>
      </c>
      <c r="AZ9" s="24">
        <f>IF(AX9="","",VLOOKUP(AX9,TemplateCode!$AW$2:$AY$450,3,FALSE))</f>
      </c>
      <c r="BA9" s="23"/>
      <c r="BB9" s="23"/>
      <c r="BC9" s="23"/>
      <c r="BD9" s="23"/>
      <c r="BE9" s="23"/>
      <c r="BF9" s="23"/>
    </row>
    <row r="10" ht="12.75" customHeight="true">
      <c r="A10" s="22" t="s">
        <v>47</v>
      </c>
      <c r="B10" s="22"/>
      <c r="C10" s="23"/>
      <c r="D10" s="23" t="s">
        <v>47</v>
      </c>
      <c r="E10" s="22" t="s">
        <v>47</v>
      </c>
      <c r="F10" s="23" t="s">
        <v>47</v>
      </c>
      <c r="G10" s="22" t="s">
        <v>47</v>
      </c>
      <c r="H10" s="24">
        <f>IF(G10="","",VLOOKUP(G10,TemplateCode!$A$2:$C$450,2,FALSE))</f>
      </c>
      <c r="I10" s="24">
        <f>IF(G10="","",VLOOKUP(G10,TemplateCode!$A$2:$C$450,3,FALSE))</f>
      </c>
      <c r="J10" s="22" t="s">
        <v>47</v>
      </c>
      <c r="K10" s="24">
        <f>IF(J10="","",VLOOKUP(J10,TemplateCode!$E$2:$G$450,2,FALSE))</f>
      </c>
      <c r="L10" s="24">
        <f>IF(J10="","",VLOOKUP(J10,TemplateCode!$E$2:$G$450,3,FALSE))</f>
      </c>
      <c r="M10" s="22" t="s">
        <v>47</v>
      </c>
      <c r="N10" s="24">
        <f>IF(M10="","",VLOOKUP(M10,TemplateCode!$I$2:$K$999,2,FALSE))</f>
      </c>
      <c r="O10" s="24">
        <f>IF(M10="","",VLOOKUP(M10,TemplateCode!$I$2:$K$999,3,FALSE))</f>
      </c>
      <c r="P10" s="22" t="s">
        <v>47</v>
      </c>
      <c r="Q10" s="24">
        <f>IF(P10="","",VLOOKUP(P10,TemplateCode!$M$2:$O$450,2,FALSE))</f>
      </c>
      <c r="R10" s="24">
        <f>IF(P10="","",VLOOKUP(P10,TemplateCode!$M$2:$O$450,3,FALSE))</f>
      </c>
      <c r="S10" s="22" t="s">
        <v>47</v>
      </c>
      <c r="T10" s="24">
        <f>IF(S10="","",VLOOKUP(S10,TemplateCode!$Q$2:$S$450,2,FALSE))</f>
      </c>
      <c r="U10" s="24">
        <f>IF(S10="","",VLOOKUP(S10,TemplateCode!$Q$2:$S$450,3,FALSE))</f>
      </c>
      <c r="V10" s="22" t="s">
        <v>47</v>
      </c>
      <c r="W10" s="24">
        <f>IF(V10="","",VLOOKUP(V10,TemplateCode!$U$2:$W$450,2,FALSE))</f>
      </c>
      <c r="X10" s="24">
        <f>IF(V10="","",VLOOKUP(V10,TemplateCode!$U$2:$W$450,3,FALSE))</f>
      </c>
      <c r="Y10" s="22" t="s">
        <v>47</v>
      </c>
      <c r="Z10" s="24">
        <f>IF(Y10="","",VLOOKUP(Y10,TemplateCode!$Y$2:$AA$450,2,FALSE))</f>
      </c>
      <c r="AA10" s="24">
        <f>IF(Y10="","",VLOOKUP(Y10,TemplateCode!$Y$2:$AA$450,3,FALSE))</f>
      </c>
      <c r="AB10" s="22" t="s">
        <v>47</v>
      </c>
      <c r="AC10" s="24">
        <f>IF(AB10="","",VLOOKUP(AB10,TemplateCode!$AC$2:$AE$450,2,FALSE))</f>
      </c>
      <c r="AD10" s="24">
        <f>IF(AB10="","",VLOOKUP(AB10,TemplateCode!$AC$2:$AE$450,3,FALSE))</f>
      </c>
      <c r="AE10" s="22" t="s">
        <v>47</v>
      </c>
      <c r="AF10" s="24">
        <f>IF(AE10="","",VLOOKUP(AE10,TemplateCode!$AG$2:$AI$450,2,FALSE))</f>
      </c>
      <c r="AG10" s="24">
        <f>IF(AE10="","",VLOOKUP(AE10,TemplateCode!$AG$2:$AI$450,3,FALSE))</f>
      </c>
      <c r="AH10" s="23" t="s">
        <v>47</v>
      </c>
      <c r="AI10" s="23" t="s">
        <v>47</v>
      </c>
      <c r="AJ10" s="23" t="s">
        <v>47</v>
      </c>
      <c r="AK10" s="23" t="s">
        <v>47</v>
      </c>
      <c r="AL10" s="23" t="s">
        <v>47</v>
      </c>
      <c r="AM10" s="23" t="s">
        <v>47</v>
      </c>
      <c r="AN10" s="22" t="s">
        <v>47</v>
      </c>
      <c r="AO10" s="24">
        <f>IF(AN10="","",VLOOKUP(AN10,TemplateCode!$AK$2:$AM$450,2,FALSE))</f>
      </c>
      <c r="AP10" s="24">
        <f>IF(AN10="","",VLOOKUP(AN10,TemplateCode!$AK$2:$AM$450,3,FALSE))</f>
      </c>
      <c r="AQ10" s="22" t="s">
        <v>47</v>
      </c>
      <c r="AR10" s="24">
        <f>IF(AQ10="","",VLOOKUP(AQ10,TemplateCode!$AO$2:$AQ$450,2,FALSE))</f>
      </c>
      <c r="AS10" s="24">
        <f>IF(AQ10="","",VLOOKUP(AQ10,TemplateCode!$AO$2:$AQ$450,3,FALSE))</f>
      </c>
      <c r="AT10" s="22" t="s">
        <v>47</v>
      </c>
      <c r="AU10" s="24">
        <f>IF(AT10="","",VLOOKUP(AT10,TemplateCode!$AS$2:$AU$450,2,FALSE))</f>
      </c>
      <c r="AV10" s="24">
        <f>IF(AT10="","",VLOOKUP(AT10,TemplateCode!$AS$2:$AU$450,3,FALSE))</f>
      </c>
      <c r="AW10" s="23" t="s">
        <v>47</v>
      </c>
      <c r="AX10" s="22" t="s">
        <v>47</v>
      </c>
      <c r="AY10" s="24">
        <f>IF(AX10="","",VLOOKUP(AX10,TemplateCode!$AW$2:$AY$450,2,FALSE))</f>
      </c>
      <c r="AZ10" s="24">
        <f>IF(AX10="","",VLOOKUP(AX10,TemplateCode!$AW$2:$AY$450,3,FALSE))</f>
      </c>
      <c r="BA10" s="23"/>
      <c r="BB10" s="23"/>
      <c r="BC10" s="23"/>
      <c r="BD10" s="23"/>
      <c r="BE10" s="23"/>
      <c r="BF10" s="23"/>
    </row>
    <row r="11" ht="12.75" customHeight="true">
      <c r="A11" s="22" t="s">
        <v>47</v>
      </c>
      <c r="B11" s="22"/>
      <c r="C11" s="23"/>
      <c r="D11" s="23" t="s">
        <v>47</v>
      </c>
      <c r="E11" s="22" t="s">
        <v>47</v>
      </c>
      <c r="F11" s="23" t="s">
        <v>47</v>
      </c>
      <c r="G11" s="22" t="s">
        <v>47</v>
      </c>
      <c r="H11" s="24">
        <f>IF(G11="","",VLOOKUP(G11,TemplateCode!$A$2:$C$450,2,FALSE))</f>
      </c>
      <c r="I11" s="24">
        <f>IF(G11="","",VLOOKUP(G11,TemplateCode!$A$2:$C$450,3,FALSE))</f>
      </c>
      <c r="J11" s="22" t="s">
        <v>47</v>
      </c>
      <c r="K11" s="24">
        <f>IF(J11="","",VLOOKUP(J11,TemplateCode!$E$2:$G$450,2,FALSE))</f>
      </c>
      <c r="L11" s="24">
        <f>IF(J11="","",VLOOKUP(J11,TemplateCode!$E$2:$G$450,3,FALSE))</f>
      </c>
      <c r="M11" s="22" t="s">
        <v>47</v>
      </c>
      <c r="N11" s="24">
        <f>IF(M11="","",VLOOKUP(M11,TemplateCode!$I$2:$K$999,2,FALSE))</f>
      </c>
      <c r="O11" s="24">
        <f>IF(M11="","",VLOOKUP(M11,TemplateCode!$I$2:$K$999,3,FALSE))</f>
      </c>
      <c r="P11" s="22" t="s">
        <v>47</v>
      </c>
      <c r="Q11" s="24">
        <f>IF(P11="","",VLOOKUP(P11,TemplateCode!$M$2:$O$450,2,FALSE))</f>
      </c>
      <c r="R11" s="24">
        <f>IF(P11="","",VLOOKUP(P11,TemplateCode!$M$2:$O$450,3,FALSE))</f>
      </c>
      <c r="S11" s="22" t="s">
        <v>47</v>
      </c>
      <c r="T11" s="24">
        <f>IF(S11="","",VLOOKUP(S11,TemplateCode!$Q$2:$S$450,2,FALSE))</f>
      </c>
      <c r="U11" s="24">
        <f>IF(S11="","",VLOOKUP(S11,TemplateCode!$Q$2:$S$450,3,FALSE))</f>
      </c>
      <c r="V11" s="22" t="s">
        <v>47</v>
      </c>
      <c r="W11" s="24">
        <f>IF(V11="","",VLOOKUP(V11,TemplateCode!$U$2:$W$450,2,FALSE))</f>
      </c>
      <c r="X11" s="24">
        <f>IF(V11="","",VLOOKUP(V11,TemplateCode!$U$2:$W$450,3,FALSE))</f>
      </c>
      <c r="Y11" s="22" t="s">
        <v>47</v>
      </c>
      <c r="Z11" s="24">
        <f>IF(Y11="","",VLOOKUP(Y11,TemplateCode!$Y$2:$AA$450,2,FALSE))</f>
      </c>
      <c r="AA11" s="24">
        <f>IF(Y11="","",VLOOKUP(Y11,TemplateCode!$Y$2:$AA$450,3,FALSE))</f>
      </c>
      <c r="AB11" s="22" t="s">
        <v>47</v>
      </c>
      <c r="AC11" s="24">
        <f>IF(AB11="","",VLOOKUP(AB11,TemplateCode!$AC$2:$AE$450,2,FALSE))</f>
      </c>
      <c r="AD11" s="24">
        <f>IF(AB11="","",VLOOKUP(AB11,TemplateCode!$AC$2:$AE$450,3,FALSE))</f>
      </c>
      <c r="AE11" s="22" t="s">
        <v>47</v>
      </c>
      <c r="AF11" s="24">
        <f>IF(AE11="","",VLOOKUP(AE11,TemplateCode!$AG$2:$AI$450,2,FALSE))</f>
      </c>
      <c r="AG11" s="24">
        <f>IF(AE11="","",VLOOKUP(AE11,TemplateCode!$AG$2:$AI$450,3,FALSE))</f>
      </c>
      <c r="AH11" s="23" t="s">
        <v>47</v>
      </c>
      <c r="AI11" s="23" t="s">
        <v>47</v>
      </c>
      <c r="AJ11" s="23" t="s">
        <v>47</v>
      </c>
      <c r="AK11" s="23" t="s">
        <v>47</v>
      </c>
      <c r="AL11" s="23" t="s">
        <v>47</v>
      </c>
      <c r="AM11" s="23" t="s">
        <v>47</v>
      </c>
      <c r="AN11" s="22" t="s">
        <v>47</v>
      </c>
      <c r="AO11" s="24">
        <f>IF(AN11="","",VLOOKUP(AN11,TemplateCode!$AK$2:$AM$450,2,FALSE))</f>
      </c>
      <c r="AP11" s="24">
        <f>IF(AN11="","",VLOOKUP(AN11,TemplateCode!$AK$2:$AM$450,3,FALSE))</f>
      </c>
      <c r="AQ11" s="22" t="s">
        <v>47</v>
      </c>
      <c r="AR11" s="24">
        <f>IF(AQ11="","",VLOOKUP(AQ11,TemplateCode!$AO$2:$AQ$450,2,FALSE))</f>
      </c>
      <c r="AS11" s="24">
        <f>IF(AQ11="","",VLOOKUP(AQ11,TemplateCode!$AO$2:$AQ$450,3,FALSE))</f>
      </c>
      <c r="AT11" s="22" t="s">
        <v>47</v>
      </c>
      <c r="AU11" s="24">
        <f>IF(AT11="","",VLOOKUP(AT11,TemplateCode!$AS$2:$AU$450,2,FALSE))</f>
      </c>
      <c r="AV11" s="24">
        <f>IF(AT11="","",VLOOKUP(AT11,TemplateCode!$AS$2:$AU$450,3,FALSE))</f>
      </c>
      <c r="AW11" s="23" t="s">
        <v>47</v>
      </c>
      <c r="AX11" s="22" t="s">
        <v>47</v>
      </c>
      <c r="AY11" s="24">
        <f>IF(AX11="","",VLOOKUP(AX11,TemplateCode!$AW$2:$AY$450,2,FALSE))</f>
      </c>
      <c r="AZ11" s="24">
        <f>IF(AX11="","",VLOOKUP(AX11,TemplateCode!$AW$2:$AY$450,3,FALSE))</f>
      </c>
      <c r="BA11" s="23"/>
      <c r="BB11" s="23"/>
      <c r="BC11" s="23"/>
      <c r="BD11" s="23"/>
      <c r="BE11" s="23"/>
      <c r="BF11" s="23"/>
    </row>
    <row r="12" ht="12.75" customHeight="true">
      <c r="A12" s="22" t="s">
        <v>47</v>
      </c>
      <c r="B12" s="22"/>
      <c r="C12" s="23"/>
      <c r="D12" s="23" t="s">
        <v>47</v>
      </c>
      <c r="E12" s="22" t="s">
        <v>47</v>
      </c>
      <c r="F12" s="23" t="s">
        <v>47</v>
      </c>
      <c r="G12" s="22" t="s">
        <v>47</v>
      </c>
      <c r="H12" s="24">
        <f>IF(G12="","",VLOOKUP(G12,TemplateCode!$A$2:$C$450,2,FALSE))</f>
      </c>
      <c r="I12" s="24">
        <f>IF(G12="","",VLOOKUP(G12,TemplateCode!$A$2:$C$450,3,FALSE))</f>
      </c>
      <c r="J12" s="22" t="s">
        <v>47</v>
      </c>
      <c r="K12" s="24">
        <f>IF(J12="","",VLOOKUP(J12,TemplateCode!$E$2:$G$450,2,FALSE))</f>
      </c>
      <c r="L12" s="24">
        <f>IF(J12="","",VLOOKUP(J12,TemplateCode!$E$2:$G$450,3,FALSE))</f>
      </c>
      <c r="M12" s="22" t="s">
        <v>47</v>
      </c>
      <c r="N12" s="24">
        <f>IF(M12="","",VLOOKUP(M12,TemplateCode!$I$2:$K$999,2,FALSE))</f>
      </c>
      <c r="O12" s="24">
        <f>IF(M12="","",VLOOKUP(M12,TemplateCode!$I$2:$K$999,3,FALSE))</f>
      </c>
      <c r="P12" s="22" t="s">
        <v>47</v>
      </c>
      <c r="Q12" s="24">
        <f>IF(P12="","",VLOOKUP(P12,TemplateCode!$M$2:$O$450,2,FALSE))</f>
      </c>
      <c r="R12" s="24">
        <f>IF(P12="","",VLOOKUP(P12,TemplateCode!$M$2:$O$450,3,FALSE))</f>
      </c>
      <c r="S12" s="22" t="s">
        <v>47</v>
      </c>
      <c r="T12" s="24">
        <f>IF(S12="","",VLOOKUP(S12,TemplateCode!$Q$2:$S$450,2,FALSE))</f>
      </c>
      <c r="U12" s="24">
        <f>IF(S12="","",VLOOKUP(S12,TemplateCode!$Q$2:$S$450,3,FALSE))</f>
      </c>
      <c r="V12" s="22" t="s">
        <v>47</v>
      </c>
      <c r="W12" s="24">
        <f>IF(V12="","",VLOOKUP(V12,TemplateCode!$U$2:$W$450,2,FALSE))</f>
      </c>
      <c r="X12" s="24">
        <f>IF(V12="","",VLOOKUP(V12,TemplateCode!$U$2:$W$450,3,FALSE))</f>
      </c>
      <c r="Y12" s="22" t="s">
        <v>47</v>
      </c>
      <c r="Z12" s="24">
        <f>IF(Y12="","",VLOOKUP(Y12,TemplateCode!$Y$2:$AA$450,2,FALSE))</f>
      </c>
      <c r="AA12" s="24">
        <f>IF(Y12="","",VLOOKUP(Y12,TemplateCode!$Y$2:$AA$450,3,FALSE))</f>
      </c>
      <c r="AB12" s="22" t="s">
        <v>47</v>
      </c>
      <c r="AC12" s="24">
        <f>IF(AB12="","",VLOOKUP(AB12,TemplateCode!$AC$2:$AE$450,2,FALSE))</f>
      </c>
      <c r="AD12" s="24">
        <f>IF(AB12="","",VLOOKUP(AB12,TemplateCode!$AC$2:$AE$450,3,FALSE))</f>
      </c>
      <c r="AE12" s="22" t="s">
        <v>47</v>
      </c>
      <c r="AF12" s="24">
        <f>IF(AE12="","",VLOOKUP(AE12,TemplateCode!$AG$2:$AI$450,2,FALSE))</f>
      </c>
      <c r="AG12" s="24">
        <f>IF(AE12="","",VLOOKUP(AE12,TemplateCode!$AG$2:$AI$450,3,FALSE))</f>
      </c>
      <c r="AH12" s="23" t="s">
        <v>47</v>
      </c>
      <c r="AI12" s="23" t="s">
        <v>47</v>
      </c>
      <c r="AJ12" s="23" t="s">
        <v>47</v>
      </c>
      <c r="AK12" s="23" t="s">
        <v>47</v>
      </c>
      <c r="AL12" s="23" t="s">
        <v>47</v>
      </c>
      <c r="AM12" s="23" t="s">
        <v>47</v>
      </c>
      <c r="AN12" s="22" t="s">
        <v>47</v>
      </c>
      <c r="AO12" s="24">
        <f>IF(AN12="","",VLOOKUP(AN12,TemplateCode!$AK$2:$AM$450,2,FALSE))</f>
      </c>
      <c r="AP12" s="24">
        <f>IF(AN12="","",VLOOKUP(AN12,TemplateCode!$AK$2:$AM$450,3,FALSE))</f>
      </c>
      <c r="AQ12" s="22" t="s">
        <v>47</v>
      </c>
      <c r="AR12" s="24">
        <f>IF(AQ12="","",VLOOKUP(AQ12,TemplateCode!$AO$2:$AQ$450,2,FALSE))</f>
      </c>
      <c r="AS12" s="24">
        <f>IF(AQ12="","",VLOOKUP(AQ12,TemplateCode!$AO$2:$AQ$450,3,FALSE))</f>
      </c>
      <c r="AT12" s="22" t="s">
        <v>47</v>
      </c>
      <c r="AU12" s="24">
        <f>IF(AT12="","",VLOOKUP(AT12,TemplateCode!$AS$2:$AU$450,2,FALSE))</f>
      </c>
      <c r="AV12" s="24">
        <f>IF(AT12="","",VLOOKUP(AT12,TemplateCode!$AS$2:$AU$450,3,FALSE))</f>
      </c>
      <c r="AW12" s="23" t="s">
        <v>47</v>
      </c>
      <c r="AX12" s="22" t="s">
        <v>47</v>
      </c>
      <c r="AY12" s="24">
        <f>IF(AX12="","",VLOOKUP(AX12,TemplateCode!$AW$2:$AY$450,2,FALSE))</f>
      </c>
      <c r="AZ12" s="24">
        <f>IF(AX12="","",VLOOKUP(AX12,TemplateCode!$AW$2:$AY$450,3,FALSE))</f>
      </c>
      <c r="BA12" s="23"/>
      <c r="BB12" s="23"/>
      <c r="BC12" s="23"/>
      <c r="BD12" s="23"/>
      <c r="BE12" s="23"/>
      <c r="BF12" s="23"/>
    </row>
    <row r="13" ht="12.75" customHeight="true">
      <c r="A13" s="22" t="s">
        <v>47</v>
      </c>
      <c r="B13" s="22"/>
      <c r="C13" s="23"/>
      <c r="D13" s="23" t="s">
        <v>47</v>
      </c>
      <c r="E13" s="22" t="s">
        <v>47</v>
      </c>
      <c r="F13" s="23" t="s">
        <v>47</v>
      </c>
      <c r="G13" s="22" t="s">
        <v>47</v>
      </c>
      <c r="H13" s="24">
        <f>IF(G13="","",VLOOKUP(G13,TemplateCode!$A$2:$C$450,2,FALSE))</f>
      </c>
      <c r="I13" s="24">
        <f>IF(G13="","",VLOOKUP(G13,TemplateCode!$A$2:$C$450,3,FALSE))</f>
      </c>
      <c r="J13" s="22" t="s">
        <v>47</v>
      </c>
      <c r="K13" s="24">
        <f>IF(J13="","",VLOOKUP(J13,TemplateCode!$E$2:$G$450,2,FALSE))</f>
      </c>
      <c r="L13" s="24">
        <f>IF(J13="","",VLOOKUP(J13,TemplateCode!$E$2:$G$450,3,FALSE))</f>
      </c>
      <c r="M13" s="22" t="s">
        <v>47</v>
      </c>
      <c r="N13" s="24">
        <f>IF(M13="","",VLOOKUP(M13,TemplateCode!$I$2:$K$999,2,FALSE))</f>
      </c>
      <c r="O13" s="24">
        <f>IF(M13="","",VLOOKUP(M13,TemplateCode!$I$2:$K$999,3,FALSE))</f>
      </c>
      <c r="P13" s="22" t="s">
        <v>47</v>
      </c>
      <c r="Q13" s="24">
        <f>IF(P13="","",VLOOKUP(P13,TemplateCode!$M$2:$O$450,2,FALSE))</f>
      </c>
      <c r="R13" s="24">
        <f>IF(P13="","",VLOOKUP(P13,TemplateCode!$M$2:$O$450,3,FALSE))</f>
      </c>
      <c r="S13" s="22" t="s">
        <v>47</v>
      </c>
      <c r="T13" s="24">
        <f>IF(S13="","",VLOOKUP(S13,TemplateCode!$Q$2:$S$450,2,FALSE))</f>
      </c>
      <c r="U13" s="24">
        <f>IF(S13="","",VLOOKUP(S13,TemplateCode!$Q$2:$S$450,3,FALSE))</f>
      </c>
      <c r="V13" s="22" t="s">
        <v>47</v>
      </c>
      <c r="W13" s="24">
        <f>IF(V13="","",VLOOKUP(V13,TemplateCode!$U$2:$W$450,2,FALSE))</f>
      </c>
      <c r="X13" s="24">
        <f>IF(V13="","",VLOOKUP(V13,TemplateCode!$U$2:$W$450,3,FALSE))</f>
      </c>
      <c r="Y13" s="22" t="s">
        <v>47</v>
      </c>
      <c r="Z13" s="24">
        <f>IF(Y13="","",VLOOKUP(Y13,TemplateCode!$Y$2:$AA$450,2,FALSE))</f>
      </c>
      <c r="AA13" s="24">
        <f>IF(Y13="","",VLOOKUP(Y13,TemplateCode!$Y$2:$AA$450,3,FALSE))</f>
      </c>
      <c r="AB13" s="22" t="s">
        <v>47</v>
      </c>
      <c r="AC13" s="24">
        <f>IF(AB13="","",VLOOKUP(AB13,TemplateCode!$AC$2:$AE$450,2,FALSE))</f>
      </c>
      <c r="AD13" s="24">
        <f>IF(AB13="","",VLOOKUP(AB13,TemplateCode!$AC$2:$AE$450,3,FALSE))</f>
      </c>
      <c r="AE13" s="22" t="s">
        <v>47</v>
      </c>
      <c r="AF13" s="24">
        <f>IF(AE13="","",VLOOKUP(AE13,TemplateCode!$AG$2:$AI$450,2,FALSE))</f>
      </c>
      <c r="AG13" s="24">
        <f>IF(AE13="","",VLOOKUP(AE13,TemplateCode!$AG$2:$AI$450,3,FALSE))</f>
      </c>
      <c r="AH13" s="23" t="s">
        <v>47</v>
      </c>
      <c r="AI13" s="23" t="s">
        <v>47</v>
      </c>
      <c r="AJ13" s="23" t="s">
        <v>47</v>
      </c>
      <c r="AK13" s="23" t="s">
        <v>47</v>
      </c>
      <c r="AL13" s="23" t="s">
        <v>47</v>
      </c>
      <c r="AM13" s="23" t="s">
        <v>47</v>
      </c>
      <c r="AN13" s="22" t="s">
        <v>47</v>
      </c>
      <c r="AO13" s="24">
        <f>IF(AN13="","",VLOOKUP(AN13,TemplateCode!$AK$2:$AM$450,2,FALSE))</f>
      </c>
      <c r="AP13" s="24">
        <f>IF(AN13="","",VLOOKUP(AN13,TemplateCode!$AK$2:$AM$450,3,FALSE))</f>
      </c>
      <c r="AQ13" s="22" t="s">
        <v>47</v>
      </c>
      <c r="AR13" s="24">
        <f>IF(AQ13="","",VLOOKUP(AQ13,TemplateCode!$AO$2:$AQ$450,2,FALSE))</f>
      </c>
      <c r="AS13" s="24">
        <f>IF(AQ13="","",VLOOKUP(AQ13,TemplateCode!$AO$2:$AQ$450,3,FALSE))</f>
      </c>
      <c r="AT13" s="22" t="s">
        <v>47</v>
      </c>
      <c r="AU13" s="24">
        <f>IF(AT13="","",VLOOKUP(AT13,TemplateCode!$AS$2:$AU$450,2,FALSE))</f>
      </c>
      <c r="AV13" s="24">
        <f>IF(AT13="","",VLOOKUP(AT13,TemplateCode!$AS$2:$AU$450,3,FALSE))</f>
      </c>
      <c r="AW13" s="23" t="s">
        <v>47</v>
      </c>
      <c r="AX13" s="22" t="s">
        <v>47</v>
      </c>
      <c r="AY13" s="24">
        <f>IF(AX13="","",VLOOKUP(AX13,TemplateCode!$AW$2:$AY$450,2,FALSE))</f>
      </c>
      <c r="AZ13" s="24">
        <f>IF(AX13="","",VLOOKUP(AX13,TemplateCode!$AW$2:$AY$450,3,FALSE))</f>
      </c>
      <c r="BA13" s="23"/>
      <c r="BB13" s="23"/>
      <c r="BC13" s="23"/>
      <c r="BD13" s="23"/>
      <c r="BE13" s="23"/>
      <c r="BF13" s="23"/>
    </row>
    <row r="14" ht="12.75" customHeight="true">
      <c r="A14" s="22" t="s">
        <v>47</v>
      </c>
      <c r="B14" s="22"/>
      <c r="C14" s="23"/>
      <c r="D14" s="23" t="s">
        <v>47</v>
      </c>
      <c r="E14" s="22" t="s">
        <v>47</v>
      </c>
      <c r="F14" s="23" t="s">
        <v>47</v>
      </c>
      <c r="G14" s="22" t="s">
        <v>47</v>
      </c>
      <c r="H14" s="24">
        <f>IF(G14="","",VLOOKUP(G14,TemplateCode!$A$2:$C$450,2,FALSE))</f>
      </c>
      <c r="I14" s="24">
        <f>IF(G14="","",VLOOKUP(G14,TemplateCode!$A$2:$C$450,3,FALSE))</f>
      </c>
      <c r="J14" s="22" t="s">
        <v>47</v>
      </c>
      <c r="K14" s="24">
        <f>IF(J14="","",VLOOKUP(J14,TemplateCode!$E$2:$G$450,2,FALSE))</f>
      </c>
      <c r="L14" s="24">
        <f>IF(J14="","",VLOOKUP(J14,TemplateCode!$E$2:$G$450,3,FALSE))</f>
      </c>
      <c r="M14" s="22" t="s">
        <v>47</v>
      </c>
      <c r="N14" s="24">
        <f>IF(M14="","",VLOOKUP(M14,TemplateCode!$I$2:$K$999,2,FALSE))</f>
      </c>
      <c r="O14" s="24">
        <f>IF(M14="","",VLOOKUP(M14,TemplateCode!$I$2:$K$999,3,FALSE))</f>
      </c>
      <c r="P14" s="22" t="s">
        <v>47</v>
      </c>
      <c r="Q14" s="24">
        <f>IF(P14="","",VLOOKUP(P14,TemplateCode!$M$2:$O$450,2,FALSE))</f>
      </c>
      <c r="R14" s="24">
        <f>IF(P14="","",VLOOKUP(P14,TemplateCode!$M$2:$O$450,3,FALSE))</f>
      </c>
      <c r="S14" s="22" t="s">
        <v>47</v>
      </c>
      <c r="T14" s="24">
        <f>IF(S14="","",VLOOKUP(S14,TemplateCode!$Q$2:$S$450,2,FALSE))</f>
      </c>
      <c r="U14" s="24">
        <f>IF(S14="","",VLOOKUP(S14,TemplateCode!$Q$2:$S$450,3,FALSE))</f>
      </c>
      <c r="V14" s="22" t="s">
        <v>47</v>
      </c>
      <c r="W14" s="24">
        <f>IF(V14="","",VLOOKUP(V14,TemplateCode!$U$2:$W$450,2,FALSE))</f>
      </c>
      <c r="X14" s="24">
        <f>IF(V14="","",VLOOKUP(V14,TemplateCode!$U$2:$W$450,3,FALSE))</f>
      </c>
      <c r="Y14" s="22" t="s">
        <v>47</v>
      </c>
      <c r="Z14" s="24">
        <f>IF(Y14="","",VLOOKUP(Y14,TemplateCode!$Y$2:$AA$450,2,FALSE))</f>
      </c>
      <c r="AA14" s="24">
        <f>IF(Y14="","",VLOOKUP(Y14,TemplateCode!$Y$2:$AA$450,3,FALSE))</f>
      </c>
      <c r="AB14" s="22" t="s">
        <v>47</v>
      </c>
      <c r="AC14" s="24">
        <f>IF(AB14="","",VLOOKUP(AB14,TemplateCode!$AC$2:$AE$450,2,FALSE))</f>
      </c>
      <c r="AD14" s="24">
        <f>IF(AB14="","",VLOOKUP(AB14,TemplateCode!$AC$2:$AE$450,3,FALSE))</f>
      </c>
      <c r="AE14" s="22" t="s">
        <v>47</v>
      </c>
      <c r="AF14" s="24">
        <f>IF(AE14="","",VLOOKUP(AE14,TemplateCode!$AG$2:$AI$450,2,FALSE))</f>
      </c>
      <c r="AG14" s="24">
        <f>IF(AE14="","",VLOOKUP(AE14,TemplateCode!$AG$2:$AI$450,3,FALSE))</f>
      </c>
      <c r="AH14" s="23" t="s">
        <v>47</v>
      </c>
      <c r="AI14" s="23" t="s">
        <v>47</v>
      </c>
      <c r="AJ14" s="23" t="s">
        <v>47</v>
      </c>
      <c r="AK14" s="23" t="s">
        <v>47</v>
      </c>
      <c r="AL14" s="23" t="s">
        <v>47</v>
      </c>
      <c r="AM14" s="23" t="s">
        <v>47</v>
      </c>
      <c r="AN14" s="22" t="s">
        <v>47</v>
      </c>
      <c r="AO14" s="24">
        <f>IF(AN14="","",VLOOKUP(AN14,TemplateCode!$AK$2:$AM$450,2,FALSE))</f>
      </c>
      <c r="AP14" s="24">
        <f>IF(AN14="","",VLOOKUP(AN14,TemplateCode!$AK$2:$AM$450,3,FALSE))</f>
      </c>
      <c r="AQ14" s="22" t="s">
        <v>47</v>
      </c>
      <c r="AR14" s="24">
        <f>IF(AQ14="","",VLOOKUP(AQ14,TemplateCode!$AO$2:$AQ$450,2,FALSE))</f>
      </c>
      <c r="AS14" s="24">
        <f>IF(AQ14="","",VLOOKUP(AQ14,TemplateCode!$AO$2:$AQ$450,3,FALSE))</f>
      </c>
      <c r="AT14" s="22" t="s">
        <v>47</v>
      </c>
      <c r="AU14" s="24">
        <f>IF(AT14="","",VLOOKUP(AT14,TemplateCode!$AS$2:$AU$450,2,FALSE))</f>
      </c>
      <c r="AV14" s="24">
        <f>IF(AT14="","",VLOOKUP(AT14,TemplateCode!$AS$2:$AU$450,3,FALSE))</f>
      </c>
      <c r="AW14" s="23" t="s">
        <v>47</v>
      </c>
      <c r="AX14" s="22" t="s">
        <v>47</v>
      </c>
      <c r="AY14" s="24">
        <f>IF(AX14="","",VLOOKUP(AX14,TemplateCode!$AW$2:$AY$450,2,FALSE))</f>
      </c>
      <c r="AZ14" s="24">
        <f>IF(AX14="","",VLOOKUP(AX14,TemplateCode!$AW$2:$AY$450,3,FALSE))</f>
      </c>
      <c r="BA14" s="23"/>
      <c r="BB14" s="23"/>
      <c r="BC14" s="23"/>
      <c r="BD14" s="23"/>
      <c r="BE14" s="23"/>
      <c r="BF14" s="23"/>
    </row>
    <row r="15" ht="12.75" customHeight="true">
      <c r="A15" s="22" t="s">
        <v>47</v>
      </c>
      <c r="B15" s="22"/>
      <c r="C15" s="23"/>
      <c r="D15" s="23" t="s">
        <v>47</v>
      </c>
      <c r="E15" s="22" t="s">
        <v>47</v>
      </c>
      <c r="F15" s="23" t="s">
        <v>47</v>
      </c>
      <c r="G15" s="22" t="s">
        <v>47</v>
      </c>
      <c r="H15" s="24">
        <f>IF(G15="","",VLOOKUP(G15,TemplateCode!$A$2:$C$450,2,FALSE))</f>
      </c>
      <c r="I15" s="24">
        <f>IF(G15="","",VLOOKUP(G15,TemplateCode!$A$2:$C$450,3,FALSE))</f>
      </c>
      <c r="J15" s="22" t="s">
        <v>47</v>
      </c>
      <c r="K15" s="24">
        <f>IF(J15="","",VLOOKUP(J15,TemplateCode!$E$2:$G$450,2,FALSE))</f>
      </c>
      <c r="L15" s="24">
        <f>IF(J15="","",VLOOKUP(J15,TemplateCode!$E$2:$G$450,3,FALSE))</f>
      </c>
      <c r="M15" s="22" t="s">
        <v>47</v>
      </c>
      <c r="N15" s="24">
        <f>IF(M15="","",VLOOKUP(M15,TemplateCode!$I$2:$K$999,2,FALSE))</f>
      </c>
      <c r="O15" s="24">
        <f>IF(M15="","",VLOOKUP(M15,TemplateCode!$I$2:$K$999,3,FALSE))</f>
      </c>
      <c r="P15" s="22" t="s">
        <v>47</v>
      </c>
      <c r="Q15" s="24">
        <f>IF(P15="","",VLOOKUP(P15,TemplateCode!$M$2:$O$450,2,FALSE))</f>
      </c>
      <c r="R15" s="24">
        <f>IF(P15="","",VLOOKUP(P15,TemplateCode!$M$2:$O$450,3,FALSE))</f>
      </c>
      <c r="S15" s="22" t="s">
        <v>47</v>
      </c>
      <c r="T15" s="24">
        <f>IF(S15="","",VLOOKUP(S15,TemplateCode!$Q$2:$S$450,2,FALSE))</f>
      </c>
      <c r="U15" s="24">
        <f>IF(S15="","",VLOOKUP(S15,TemplateCode!$Q$2:$S$450,3,FALSE))</f>
      </c>
      <c r="V15" s="22" t="s">
        <v>47</v>
      </c>
      <c r="W15" s="24">
        <f>IF(V15="","",VLOOKUP(V15,TemplateCode!$U$2:$W$450,2,FALSE))</f>
      </c>
      <c r="X15" s="24">
        <f>IF(V15="","",VLOOKUP(V15,TemplateCode!$U$2:$W$450,3,FALSE))</f>
      </c>
      <c r="Y15" s="22" t="s">
        <v>47</v>
      </c>
      <c r="Z15" s="24">
        <f>IF(Y15="","",VLOOKUP(Y15,TemplateCode!$Y$2:$AA$450,2,FALSE))</f>
      </c>
      <c r="AA15" s="24">
        <f>IF(Y15="","",VLOOKUP(Y15,TemplateCode!$Y$2:$AA$450,3,FALSE))</f>
      </c>
      <c r="AB15" s="22" t="s">
        <v>47</v>
      </c>
      <c r="AC15" s="24">
        <f>IF(AB15="","",VLOOKUP(AB15,TemplateCode!$AC$2:$AE$450,2,FALSE))</f>
      </c>
      <c r="AD15" s="24">
        <f>IF(AB15="","",VLOOKUP(AB15,TemplateCode!$AC$2:$AE$450,3,FALSE))</f>
      </c>
      <c r="AE15" s="22" t="s">
        <v>47</v>
      </c>
      <c r="AF15" s="24">
        <f>IF(AE15="","",VLOOKUP(AE15,TemplateCode!$AG$2:$AI$450,2,FALSE))</f>
      </c>
      <c r="AG15" s="24">
        <f>IF(AE15="","",VLOOKUP(AE15,TemplateCode!$AG$2:$AI$450,3,FALSE))</f>
      </c>
      <c r="AH15" s="23" t="s">
        <v>47</v>
      </c>
      <c r="AI15" s="23" t="s">
        <v>47</v>
      </c>
      <c r="AJ15" s="23" t="s">
        <v>47</v>
      </c>
      <c r="AK15" s="23" t="s">
        <v>47</v>
      </c>
      <c r="AL15" s="23" t="s">
        <v>47</v>
      </c>
      <c r="AM15" s="23" t="s">
        <v>47</v>
      </c>
      <c r="AN15" s="22" t="s">
        <v>47</v>
      </c>
      <c r="AO15" s="24">
        <f>IF(AN15="","",VLOOKUP(AN15,TemplateCode!$AK$2:$AM$450,2,FALSE))</f>
      </c>
      <c r="AP15" s="24">
        <f>IF(AN15="","",VLOOKUP(AN15,TemplateCode!$AK$2:$AM$450,3,FALSE))</f>
      </c>
      <c r="AQ15" s="22" t="s">
        <v>47</v>
      </c>
      <c r="AR15" s="24">
        <f>IF(AQ15="","",VLOOKUP(AQ15,TemplateCode!$AO$2:$AQ$450,2,FALSE))</f>
      </c>
      <c r="AS15" s="24">
        <f>IF(AQ15="","",VLOOKUP(AQ15,TemplateCode!$AO$2:$AQ$450,3,FALSE))</f>
      </c>
      <c r="AT15" s="22" t="s">
        <v>47</v>
      </c>
      <c r="AU15" s="24">
        <f>IF(AT15="","",VLOOKUP(AT15,TemplateCode!$AS$2:$AU$450,2,FALSE))</f>
      </c>
      <c r="AV15" s="24">
        <f>IF(AT15="","",VLOOKUP(AT15,TemplateCode!$AS$2:$AU$450,3,FALSE))</f>
      </c>
      <c r="AW15" s="23" t="s">
        <v>47</v>
      </c>
      <c r="AX15" s="22" t="s">
        <v>47</v>
      </c>
      <c r="AY15" s="24">
        <f>IF(AX15="","",VLOOKUP(AX15,TemplateCode!$AW$2:$AY$450,2,FALSE))</f>
      </c>
      <c r="AZ15" s="24">
        <f>IF(AX15="","",VLOOKUP(AX15,TemplateCode!$AW$2:$AY$450,3,FALSE))</f>
      </c>
      <c r="BA15" s="23"/>
      <c r="BB15" s="23"/>
      <c r="BC15" s="23"/>
      <c r="BD15" s="23"/>
      <c r="BE15" s="23"/>
      <c r="BF15" s="23"/>
    </row>
    <row r="16" ht="12.75" customHeight="true">
      <c r="A16" s="22" t="s">
        <v>47</v>
      </c>
      <c r="B16" s="22"/>
      <c r="C16" s="23"/>
      <c r="D16" s="23" t="s">
        <v>47</v>
      </c>
      <c r="E16" s="22" t="s">
        <v>47</v>
      </c>
      <c r="F16" s="23" t="s">
        <v>47</v>
      </c>
      <c r="G16" s="22" t="s">
        <v>47</v>
      </c>
      <c r="H16" s="24">
        <f>IF(G16="","",VLOOKUP(G16,TemplateCode!$A$2:$C$450,2,FALSE))</f>
      </c>
      <c r="I16" s="24">
        <f>IF(G16="","",VLOOKUP(G16,TemplateCode!$A$2:$C$450,3,FALSE))</f>
      </c>
      <c r="J16" s="22" t="s">
        <v>47</v>
      </c>
      <c r="K16" s="24">
        <f>IF(J16="","",VLOOKUP(J16,TemplateCode!$E$2:$G$450,2,FALSE))</f>
      </c>
      <c r="L16" s="24">
        <f>IF(J16="","",VLOOKUP(J16,TemplateCode!$E$2:$G$450,3,FALSE))</f>
      </c>
      <c r="M16" s="22" t="s">
        <v>47</v>
      </c>
      <c r="N16" s="24">
        <f>IF(M16="","",VLOOKUP(M16,TemplateCode!$I$2:$K$999,2,FALSE))</f>
      </c>
      <c r="O16" s="24">
        <f>IF(M16="","",VLOOKUP(M16,TemplateCode!$I$2:$K$999,3,FALSE))</f>
      </c>
      <c r="P16" s="22" t="s">
        <v>47</v>
      </c>
      <c r="Q16" s="24">
        <f>IF(P16="","",VLOOKUP(P16,TemplateCode!$M$2:$O$450,2,FALSE))</f>
      </c>
      <c r="R16" s="24">
        <f>IF(P16="","",VLOOKUP(P16,TemplateCode!$M$2:$O$450,3,FALSE))</f>
      </c>
      <c r="S16" s="22" t="s">
        <v>47</v>
      </c>
      <c r="T16" s="24">
        <f>IF(S16="","",VLOOKUP(S16,TemplateCode!$Q$2:$S$450,2,FALSE))</f>
      </c>
      <c r="U16" s="24">
        <f>IF(S16="","",VLOOKUP(S16,TemplateCode!$Q$2:$S$450,3,FALSE))</f>
      </c>
      <c r="V16" s="22" t="s">
        <v>47</v>
      </c>
      <c r="W16" s="24">
        <f>IF(V16="","",VLOOKUP(V16,TemplateCode!$U$2:$W$450,2,FALSE))</f>
      </c>
      <c r="X16" s="24">
        <f>IF(V16="","",VLOOKUP(V16,TemplateCode!$U$2:$W$450,3,FALSE))</f>
      </c>
      <c r="Y16" s="22" t="s">
        <v>47</v>
      </c>
      <c r="Z16" s="24">
        <f>IF(Y16="","",VLOOKUP(Y16,TemplateCode!$Y$2:$AA$450,2,FALSE))</f>
      </c>
      <c r="AA16" s="24">
        <f>IF(Y16="","",VLOOKUP(Y16,TemplateCode!$Y$2:$AA$450,3,FALSE))</f>
      </c>
      <c r="AB16" s="22" t="s">
        <v>47</v>
      </c>
      <c r="AC16" s="24">
        <f>IF(AB16="","",VLOOKUP(AB16,TemplateCode!$AC$2:$AE$450,2,FALSE))</f>
      </c>
      <c r="AD16" s="24">
        <f>IF(AB16="","",VLOOKUP(AB16,TemplateCode!$AC$2:$AE$450,3,FALSE))</f>
      </c>
      <c r="AE16" s="22" t="s">
        <v>47</v>
      </c>
      <c r="AF16" s="24">
        <f>IF(AE16="","",VLOOKUP(AE16,TemplateCode!$AG$2:$AI$450,2,FALSE))</f>
      </c>
      <c r="AG16" s="24">
        <f>IF(AE16="","",VLOOKUP(AE16,TemplateCode!$AG$2:$AI$450,3,FALSE))</f>
      </c>
      <c r="AH16" s="23" t="s">
        <v>47</v>
      </c>
      <c r="AI16" s="23" t="s">
        <v>47</v>
      </c>
      <c r="AJ16" s="23" t="s">
        <v>47</v>
      </c>
      <c r="AK16" s="23" t="s">
        <v>47</v>
      </c>
      <c r="AL16" s="23" t="s">
        <v>47</v>
      </c>
      <c r="AM16" s="23" t="s">
        <v>47</v>
      </c>
      <c r="AN16" s="22" t="s">
        <v>47</v>
      </c>
      <c r="AO16" s="24">
        <f>IF(AN16="","",VLOOKUP(AN16,TemplateCode!$AK$2:$AM$450,2,FALSE))</f>
      </c>
      <c r="AP16" s="24">
        <f>IF(AN16="","",VLOOKUP(AN16,TemplateCode!$AK$2:$AM$450,3,FALSE))</f>
      </c>
      <c r="AQ16" s="22" t="s">
        <v>47</v>
      </c>
      <c r="AR16" s="24">
        <f>IF(AQ16="","",VLOOKUP(AQ16,TemplateCode!$AO$2:$AQ$450,2,FALSE))</f>
      </c>
      <c r="AS16" s="24">
        <f>IF(AQ16="","",VLOOKUP(AQ16,TemplateCode!$AO$2:$AQ$450,3,FALSE))</f>
      </c>
      <c r="AT16" s="22" t="s">
        <v>47</v>
      </c>
      <c r="AU16" s="24">
        <f>IF(AT16="","",VLOOKUP(AT16,TemplateCode!$AS$2:$AU$450,2,FALSE))</f>
      </c>
      <c r="AV16" s="24">
        <f>IF(AT16="","",VLOOKUP(AT16,TemplateCode!$AS$2:$AU$450,3,FALSE))</f>
      </c>
      <c r="AW16" s="23" t="s">
        <v>47</v>
      </c>
      <c r="AX16" s="22" t="s">
        <v>47</v>
      </c>
      <c r="AY16" s="24">
        <f>IF(AX16="","",VLOOKUP(AX16,TemplateCode!$AW$2:$AY$450,2,FALSE))</f>
      </c>
      <c r="AZ16" s="24">
        <f>IF(AX16="","",VLOOKUP(AX16,TemplateCode!$AW$2:$AY$450,3,FALSE))</f>
      </c>
      <c r="BA16" s="23"/>
      <c r="BB16" s="23"/>
      <c r="BC16" s="23"/>
      <c r="BD16" s="23"/>
      <c r="BE16" s="23"/>
      <c r="BF16" s="23"/>
    </row>
  </sheetData>
  <mergeCells count="4">
    <mergeCell ref="A1:G1"/>
    <mergeCell ref="A2:G2"/>
    <mergeCell ref="A3:G3"/>
    <mergeCell ref="A4:G4"/>
  </mergeCells>
  <dataValidations count="14">
    <dataValidation type="list" sqref="G7:G16" allowBlank="true" errorStyle="stop" showErrorMessage="true" showInputMessage="true" showDropDown="false">
      <formula1>rs</formula1>
    </dataValidation>
    <dataValidation type="list" sqref="J7:J16" allowBlank="true" errorStyle="stop" showErrorMessage="true" showInputMessage="true" showDropDown="false">
      <formula1>rsxj</formula1>
    </dataValidation>
    <dataValidation type="list" sqref="M7:M16" allowBlank="true" errorStyle="stop" showErrorMessage="true" showInputMessage="true" showDropDown="false">
      <formula1>dept</formula1>
    </dataValidation>
    <dataValidation type="list" sqref="P7:P16" allowBlank="true" errorStyle="stop" showErrorMessage="true" showInputMessage="true" showDropDown="false">
      <formula1>dj</formula1>
    </dataValidation>
    <dataValidation type="list" sqref="S7:S16" allowBlank="true" errorStyle="stop" showErrorMessage="true" showInputMessage="true" showDropDown="false">
      <formula1>zyyw</formula1>
    </dataValidation>
    <dataValidation type="list" sqref="V7:V16" allowBlank="true" errorStyle="stop" showErrorMessage="true" showInputMessage="true" showDropDown="false">
      <formula1>zz</formula1>
    </dataValidation>
    <dataValidation type="list" sqref="Y7:Y16" allowBlank="true" errorStyle="stop" showErrorMessage="true" showInputMessage="true" showDropDown="false">
      <formula1>yglx</formula1>
    </dataValidation>
    <dataValidation type="list" sqref="AE7:AE16" allowBlank="true" errorStyle="stop" showErrorMessage="true" showInputMessage="true" showDropDown="false">
      <formula1>zzxl</formula1>
    </dataValidation>
    <dataValidation type="list" sqref="AN8:AN16" allowBlank="true" errorStyle="stop" showErrorMessage="true" showInputMessage="true" showDropDown="false">
      <formula1>xb</formula1>
    </dataValidation>
    <dataValidation type="list" sqref="AQ7:AQ16" allowBlank="true" errorStyle="stop" showErrorMessage="true" showInputMessage="true" showDropDown="false">
      <formula1>gj</formula1>
    </dataValidation>
    <dataValidation type="list" sqref="AT7:AT16" allowBlank="true" errorStyle="stop" showErrorMessage="true" showInputMessage="true" showDropDown="false">
      <formula1>minzu</formula1>
    </dataValidation>
    <dataValidation type="list" sqref="AX7:AX16" allowBlank="true" errorStyle="stop" showErrorMessage="true" showInputMessage="true" showDropDown="false">
      <formula1>jhqf</formula1>
    </dataValidation>
    <dataValidation type="list" sqref="AN7" allowBlank="true" errorStyle="stop" showErrorMessage="true" showInputMessage="true" showDropDown="false">
      <formula1>xb</formula1>
    </dataValidation>
    <dataValidation type="list" sqref="AB7:AB16" allowBlank="true" errorStyle="stop" showErrorMessage="true" showInputMessage="true" showDropDown="false">
      <formula1>zq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Y208"/>
  <sheetViews>
    <sheetView workbookViewId="0"/>
  </sheetViews>
  <sheetFormatPr defaultRowHeight="15.0"/>
  <cols>
    <col min="1" max="1" width="9.140625" customWidth="true"/>
    <col min="2" max="2" width="9.140625" customWidth="true"/>
    <col min="3" max="3" width="9.140625" customWidth="true"/>
    <col min="4" max="4" width="9.140625" customWidth="true"/>
    <col min="5" max="5" width="9.140625" customWidth="true"/>
    <col min="6" max="6" width="9.140625" customWidth="true"/>
    <col min="7" max="7" width="9.140625" customWidth="true"/>
    <col min="8" max="8" width="9.140625" customWidth="true"/>
    <col min="9" max="9" width="9.1406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140625" customWidth="true"/>
    <col min="22" max="22" width="9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32" max="32" width="9.140625" customWidth="true"/>
    <col min="33" max="33" width="9.140625" customWidth="true"/>
    <col min="34" max="34" width="9.140625" customWidth="true"/>
    <col min="35" max="35" width="9.140625" customWidth="true"/>
    <col min="36" max="36" width="9.140625" customWidth="true"/>
    <col min="37" max="37" width="9.140625" customWidth="true"/>
    <col min="38" max="38" width="9.140625" customWidth="true"/>
    <col min="39" max="39" width="9.140625" customWidth="true"/>
    <col min="40" max="40" width="9.140625" customWidth="true"/>
    <col min="41" max="41" width="9.140625" customWidth="true"/>
    <col min="42" max="42" width="9.140625" customWidth="true"/>
    <col min="43" max="43" width="9.140625" customWidth="true"/>
    <col min="44" max="44" width="9.140625" customWidth="true"/>
    <col min="45" max="45" width="9.140625" customWidth="true"/>
    <col min="46" max="46" width="9.140625" customWidth="true"/>
    <col min="47" max="47" width="9.140625" customWidth="true"/>
    <col min="48" max="48" width="9.140625" customWidth="true"/>
    <col min="49" max="49" width="9.140625" customWidth="true"/>
    <col min="50" max="50" width="9.140625" customWidth="true"/>
    <col min="51" max="51" width="9.140625" customWidth="true"/>
  </cols>
  <sheetData>
    <row r="1" ht="12.75" customHeight="true">
      <c r="A1" s="25" t="s">
        <v>52</v>
      </c>
      <c r="B1" s="26"/>
      <c r="C1" s="26"/>
      <c r="E1" s="25" t="s">
        <v>53</v>
      </c>
      <c r="F1" s="26"/>
      <c r="G1" s="26"/>
      <c r="I1" s="25" t="s">
        <v>12</v>
      </c>
      <c r="J1" s="26"/>
      <c r="K1" s="26"/>
      <c r="M1" s="25" t="s">
        <v>14</v>
      </c>
      <c r="N1" s="26"/>
      <c r="O1" s="26"/>
      <c r="Q1" s="25" t="s">
        <v>16</v>
      </c>
      <c r="R1" s="26"/>
      <c r="S1" s="26"/>
      <c r="U1" s="25" t="s">
        <v>18</v>
      </c>
      <c r="V1" s="26"/>
      <c r="W1" s="26"/>
      <c r="Y1" s="25" t="s">
        <v>20</v>
      </c>
      <c r="Z1" s="26"/>
      <c r="AA1" s="26"/>
      <c r="AC1" s="25" t="s">
        <v>22</v>
      </c>
      <c r="AD1" s="26"/>
      <c r="AE1" s="26"/>
      <c r="AG1" s="25" t="s">
        <v>24</v>
      </c>
      <c r="AH1" s="26"/>
      <c r="AI1" s="26"/>
      <c r="AK1" s="25" t="s">
        <v>32</v>
      </c>
      <c r="AL1" s="26"/>
      <c r="AM1" s="26"/>
      <c r="AO1" s="25" t="s">
        <v>34</v>
      </c>
      <c r="AP1" s="26"/>
      <c r="AQ1" s="26"/>
      <c r="AS1" s="25" t="s">
        <v>36</v>
      </c>
      <c r="AT1" s="26"/>
      <c r="AU1" s="26"/>
      <c r="AW1" s="25" t="s">
        <v>39</v>
      </c>
      <c r="AX1" s="26"/>
      <c r="AY1" s="26"/>
    </row>
    <row r="2" ht="12.75" customHeight="true">
      <c r="A2" t="s">
        <v>54</v>
      </c>
      <c r="B2" t="s">
        <v>55</v>
      </c>
      <c r="C2" t="s">
        <v>56</v>
      </c>
      <c r="E2" t="s">
        <v>63</v>
      </c>
      <c r="F2" t="s">
        <v>64</v>
      </c>
      <c r="G2" t="s">
        <v>65</v>
      </c>
      <c r="I2" t="s">
        <v>77</v>
      </c>
      <c r="J2" t="s">
        <v>78</v>
      </c>
      <c r="K2" t="s">
        <v>79</v>
      </c>
      <c r="M2" t="s">
        <v>200</v>
      </c>
      <c r="N2" t="s">
        <v>201</v>
      </c>
      <c r="O2" t="s">
        <v>202</v>
      </c>
      <c r="Q2" t="s">
        <v>254</v>
      </c>
      <c r="R2" t="s">
        <v>255</v>
      </c>
      <c r="S2" t="s">
        <v>256</v>
      </c>
      <c r="U2" t="s">
        <v>544</v>
      </c>
      <c r="V2" t="s">
        <v>545</v>
      </c>
      <c r="W2" t="s">
        <v>546</v>
      </c>
      <c r="Y2" t="s">
        <v>568</v>
      </c>
      <c r="Z2" t="s">
        <v>569</v>
      </c>
      <c r="AA2" t="s">
        <v>570</v>
      </c>
      <c r="AC2" t="s">
        <v>583</v>
      </c>
      <c r="AD2" t="s">
        <v>584</v>
      </c>
      <c r="AE2" t="s">
        <v>585</v>
      </c>
      <c r="AG2" t="s">
        <v>589</v>
      </c>
      <c r="AH2" t="s">
        <v>590</v>
      </c>
      <c r="AI2" t="s">
        <v>591</v>
      </c>
      <c r="AK2" t="s">
        <v>616</v>
      </c>
      <c r="AL2" t="s">
        <v>617</v>
      </c>
      <c r="AM2" t="s">
        <v>618</v>
      </c>
      <c r="AO2" t="s">
        <v>622</v>
      </c>
      <c r="AP2" t="s">
        <v>623</v>
      </c>
      <c r="AQ2" t="s">
        <v>624</v>
      </c>
      <c r="AS2" t="s">
        <v>631</v>
      </c>
      <c r="AT2" t="s">
        <v>632</v>
      </c>
      <c r="AU2" t="s">
        <v>633</v>
      </c>
      <c r="AW2" t="s">
        <v>796</v>
      </c>
      <c r="AX2" t="s">
        <v>797</v>
      </c>
      <c r="AY2" t="s">
        <v>798</v>
      </c>
    </row>
    <row r="3" ht="12.75" customHeight="true">
      <c r="A3" t="s">
        <v>57</v>
      </c>
      <c r="B3" t="s">
        <v>58</v>
      </c>
      <c r="C3" t="s">
        <v>59</v>
      </c>
      <c r="E3" t="s">
        <v>66</v>
      </c>
      <c r="F3" t="s">
        <v>67</v>
      </c>
      <c r="G3" t="s">
        <v>68</v>
      </c>
      <c r="I3" t="s">
        <v>80</v>
      </c>
      <c r="J3" t="s">
        <v>81</v>
      </c>
      <c r="K3" t="s">
        <v>82</v>
      </c>
      <c r="M3" t="s">
        <v>203</v>
      </c>
      <c r="N3" t="s">
        <v>204</v>
      </c>
      <c r="O3" t="s">
        <v>205</v>
      </c>
      <c r="Q3" t="s">
        <v>257</v>
      </c>
      <c r="R3" t="s">
        <v>258</v>
      </c>
      <c r="S3" t="s">
        <v>259</v>
      </c>
      <c r="U3" t="s">
        <v>547</v>
      </c>
      <c r="V3" t="s">
        <v>548</v>
      </c>
      <c r="W3" t="s">
        <v>549</v>
      </c>
      <c r="Y3" t="s">
        <v>571</v>
      </c>
      <c r="Z3" t="s">
        <v>572</v>
      </c>
      <c r="AA3" t="s">
        <v>573</v>
      </c>
      <c r="AC3" t="s">
        <v>586</v>
      </c>
      <c r="AD3" t="s">
        <v>587</v>
      </c>
      <c r="AE3" t="s">
        <v>588</v>
      </c>
      <c r="AG3" t="s">
        <v>592</v>
      </c>
      <c r="AH3" t="s">
        <v>593</v>
      </c>
      <c r="AI3" t="s">
        <v>594</v>
      </c>
      <c r="AK3" t="s">
        <v>619</v>
      </c>
      <c r="AL3" t="s">
        <v>620</v>
      </c>
      <c r="AM3" t="s">
        <v>621</v>
      </c>
      <c r="AO3" t="s">
        <v>625</v>
      </c>
      <c r="AP3" t="s">
        <v>626</v>
      </c>
      <c r="AQ3" t="s">
        <v>627</v>
      </c>
      <c r="AS3" t="s">
        <v>634</v>
      </c>
      <c r="AT3" t="s">
        <v>635</v>
      </c>
      <c r="AU3" t="s">
        <v>636</v>
      </c>
      <c r="AW3" t="s">
        <v>799</v>
      </c>
      <c r="AX3" t="s">
        <v>800</v>
      </c>
      <c r="AY3" t="s">
        <v>801</v>
      </c>
    </row>
    <row r="4" ht="12.75" customHeight="true">
      <c r="A4" t="s">
        <v>60</v>
      </c>
      <c r="B4" t="s">
        <v>61</v>
      </c>
      <c r="C4" t="s">
        <v>62</v>
      </c>
      <c r="E4" t="s">
        <v>69</v>
      </c>
      <c r="F4" t="s">
        <v>70</v>
      </c>
      <c r="G4" t="s">
        <v>59</v>
      </c>
      <c r="I4" t="s">
        <v>83</v>
      </c>
      <c r="J4" t="s">
        <v>84</v>
      </c>
      <c r="K4" t="s">
        <v>85</v>
      </c>
      <c r="M4" t="s">
        <v>206</v>
      </c>
      <c r="N4" t="s">
        <v>207</v>
      </c>
      <c r="O4" t="s">
        <v>208</v>
      </c>
      <c r="Q4" t="s">
        <v>260</v>
      </c>
      <c r="R4" t="s">
        <v>261</v>
      </c>
      <c r="S4" t="s">
        <v>262</v>
      </c>
      <c r="U4" t="s">
        <v>550</v>
      </c>
      <c r="V4" t="s">
        <v>551</v>
      </c>
      <c r="W4" t="s">
        <v>552</v>
      </c>
      <c r="Y4" t="s">
        <v>574</v>
      </c>
      <c r="Z4" t="s">
        <v>575</v>
      </c>
      <c r="AA4" t="s">
        <v>576</v>
      </c>
      <c r="AG4" t="s">
        <v>595</v>
      </c>
      <c r="AH4" t="s">
        <v>596</v>
      </c>
      <c r="AI4" t="s">
        <v>597</v>
      </c>
      <c r="AO4" t="s">
        <v>628</v>
      </c>
      <c r="AP4" t="s">
        <v>629</v>
      </c>
      <c r="AQ4" t="s">
        <v>630</v>
      </c>
      <c r="AS4" t="s">
        <v>637</v>
      </c>
      <c r="AT4" t="s">
        <v>638</v>
      </c>
      <c r="AU4" t="s">
        <v>639</v>
      </c>
      <c r="AW4" t="s">
        <v>802</v>
      </c>
      <c r="AX4" t="s">
        <v>803</v>
      </c>
      <c r="AY4" t="s">
        <v>804</v>
      </c>
    </row>
    <row r="5" ht="12.75" customHeight="true">
      <c r="E5" t="s">
        <v>71</v>
      </c>
      <c r="F5" t="s">
        <v>72</v>
      </c>
      <c r="G5" t="s">
        <v>73</v>
      </c>
      <c r="I5" t="s">
        <v>86</v>
      </c>
      <c r="J5" t="s">
        <v>87</v>
      </c>
      <c r="K5" t="s">
        <v>88</v>
      </c>
      <c r="M5" t="s">
        <v>209</v>
      </c>
      <c r="N5" t="s">
        <v>210</v>
      </c>
      <c r="O5" t="s">
        <v>211</v>
      </c>
      <c r="Q5" t="s">
        <v>263</v>
      </c>
      <c r="R5" t="s">
        <v>264</v>
      </c>
      <c r="S5" t="s">
        <v>265</v>
      </c>
      <c r="U5" t="s">
        <v>553</v>
      </c>
      <c r="V5" t="s">
        <v>554</v>
      </c>
      <c r="W5" t="s">
        <v>555</v>
      </c>
      <c r="Y5" t="s">
        <v>577</v>
      </c>
      <c r="Z5" t="s">
        <v>578</v>
      </c>
      <c r="AA5" t="s">
        <v>579</v>
      </c>
      <c r="AG5" t="s">
        <v>598</v>
      </c>
      <c r="AH5" t="s">
        <v>599</v>
      </c>
      <c r="AI5" t="s">
        <v>600</v>
      </c>
      <c r="AS5" t="s">
        <v>640</v>
      </c>
      <c r="AT5" t="s">
        <v>641</v>
      </c>
      <c r="AU5" t="s">
        <v>642</v>
      </c>
    </row>
    <row r="6" ht="12.75" customHeight="true">
      <c r="E6" t="s">
        <v>74</v>
      </c>
      <c r="F6" t="s">
        <v>75</v>
      </c>
      <c r="G6" t="s">
        <v>76</v>
      </c>
      <c r="I6" t="s">
        <v>89</v>
      </c>
      <c r="J6" t="s">
        <v>90</v>
      </c>
      <c r="K6" t="s">
        <v>91</v>
      </c>
      <c r="M6" t="s">
        <v>212</v>
      </c>
      <c r="N6" t="s">
        <v>213</v>
      </c>
      <c r="O6" t="s">
        <v>214</v>
      </c>
      <c r="Q6" t="s">
        <v>266</v>
      </c>
      <c r="R6" t="s">
        <v>267</v>
      </c>
      <c r="S6" t="s">
        <v>268</v>
      </c>
      <c r="U6" t="s">
        <v>556</v>
      </c>
      <c r="V6" t="s">
        <v>557</v>
      </c>
      <c r="W6" t="s">
        <v>229</v>
      </c>
      <c r="Y6" t="s">
        <v>580</v>
      </c>
      <c r="Z6" t="s">
        <v>581</v>
      </c>
      <c r="AA6" t="s">
        <v>582</v>
      </c>
      <c r="AG6" t="s">
        <v>601</v>
      </c>
      <c r="AH6" t="s">
        <v>602</v>
      </c>
      <c r="AI6" t="s">
        <v>603</v>
      </c>
      <c r="AS6" t="s">
        <v>643</v>
      </c>
      <c r="AT6" t="s">
        <v>644</v>
      </c>
      <c r="AU6" t="s">
        <v>645</v>
      </c>
    </row>
    <row r="7" ht="12.75" customHeight="true">
      <c r="I7" t="s">
        <v>92</v>
      </c>
      <c r="J7" t="s">
        <v>93</v>
      </c>
      <c r="K7" t="s">
        <v>94</v>
      </c>
      <c r="M7" t="s">
        <v>215</v>
      </c>
      <c r="N7" t="s">
        <v>216</v>
      </c>
      <c r="O7" t="s">
        <v>217</v>
      </c>
      <c r="Q7" t="s">
        <v>269</v>
      </c>
      <c r="R7" t="s">
        <v>270</v>
      </c>
      <c r="S7" t="s">
        <v>271</v>
      </c>
      <c r="U7" t="s">
        <v>558</v>
      </c>
      <c r="V7" t="s">
        <v>559</v>
      </c>
      <c r="W7" t="s">
        <v>232</v>
      </c>
      <c r="AG7" t="s">
        <v>604</v>
      </c>
      <c r="AH7" t="s">
        <v>605</v>
      </c>
      <c r="AI7" t="s">
        <v>606</v>
      </c>
      <c r="AS7" t="s">
        <v>646</v>
      </c>
      <c r="AT7" t="s">
        <v>647</v>
      </c>
      <c r="AU7" t="s">
        <v>648</v>
      </c>
    </row>
    <row r="8" ht="12.75" customHeight="true">
      <c r="I8" t="s">
        <v>95</v>
      </c>
      <c r="J8" t="s">
        <v>96</v>
      </c>
      <c r="K8" t="s">
        <v>97</v>
      </c>
      <c r="M8" t="s">
        <v>218</v>
      </c>
      <c r="N8" t="s">
        <v>219</v>
      </c>
      <c r="O8" t="s">
        <v>220</v>
      </c>
      <c r="Q8" t="s">
        <v>272</v>
      </c>
      <c r="R8" t="s">
        <v>273</v>
      </c>
      <c r="S8" t="s">
        <v>274</v>
      </c>
      <c r="U8" t="s">
        <v>560</v>
      </c>
      <c r="V8" t="s">
        <v>561</v>
      </c>
      <c r="W8" t="s">
        <v>238</v>
      </c>
      <c r="AG8" t="s">
        <v>607</v>
      </c>
      <c r="AH8" t="s">
        <v>608</v>
      </c>
      <c r="AI8" t="s">
        <v>609</v>
      </c>
      <c r="AS8" t="s">
        <v>649</v>
      </c>
      <c r="AT8" t="s">
        <v>650</v>
      </c>
      <c r="AU8" t="s">
        <v>651</v>
      </c>
    </row>
    <row r="9" ht="12.75" customHeight="true">
      <c r="I9" t="s">
        <v>98</v>
      </c>
      <c r="J9" t="s">
        <v>99</v>
      </c>
      <c r="K9" t="s">
        <v>100</v>
      </c>
      <c r="M9" t="s">
        <v>221</v>
      </c>
      <c r="N9" t="s">
        <v>222</v>
      </c>
      <c r="O9" t="s">
        <v>223</v>
      </c>
      <c r="Q9" t="s">
        <v>275</v>
      </c>
      <c r="R9" t="s">
        <v>276</v>
      </c>
      <c r="S9" t="s">
        <v>277</v>
      </c>
      <c r="U9" t="s">
        <v>562</v>
      </c>
      <c r="V9" t="s">
        <v>563</v>
      </c>
      <c r="W9" t="s">
        <v>564</v>
      </c>
      <c r="AG9" t="s">
        <v>610</v>
      </c>
      <c r="AH9" t="s">
        <v>611</v>
      </c>
      <c r="AI9" t="s">
        <v>612</v>
      </c>
      <c r="AS9" t="s">
        <v>652</v>
      </c>
      <c r="AT9" t="s">
        <v>653</v>
      </c>
      <c r="AU9" t="s">
        <v>654</v>
      </c>
    </row>
    <row r="10" ht="12.75" customHeight="true">
      <c r="I10" t="s">
        <v>101</v>
      </c>
      <c r="J10" t="s">
        <v>102</v>
      </c>
      <c r="K10" t="s">
        <v>103</v>
      </c>
      <c r="M10" t="s">
        <v>224</v>
      </c>
      <c r="N10" t="s">
        <v>225</v>
      </c>
      <c r="O10" t="s">
        <v>226</v>
      </c>
      <c r="Q10" t="s">
        <v>278</v>
      </c>
      <c r="R10" t="s">
        <v>279</v>
      </c>
      <c r="S10" t="s">
        <v>280</v>
      </c>
      <c r="U10" t="s">
        <v>565</v>
      </c>
      <c r="V10" t="s">
        <v>566</v>
      </c>
      <c r="W10" t="s">
        <v>567</v>
      </c>
      <c r="AG10" t="s">
        <v>613</v>
      </c>
      <c r="AH10" t="s">
        <v>614</v>
      </c>
      <c r="AI10" t="s">
        <v>615</v>
      </c>
      <c r="AS10" t="s">
        <v>655</v>
      </c>
      <c r="AT10" t="s">
        <v>656</v>
      </c>
      <c r="AU10" t="s">
        <v>657</v>
      </c>
    </row>
    <row r="11" ht="12.75" customHeight="true">
      <c r="I11" t="s">
        <v>104</v>
      </c>
      <c r="J11" t="s">
        <v>105</v>
      </c>
      <c r="K11" t="s">
        <v>106</v>
      </c>
      <c r="M11" t="s">
        <v>227</v>
      </c>
      <c r="N11" t="s">
        <v>228</v>
      </c>
      <c r="O11" t="s">
        <v>229</v>
      </c>
      <c r="Q11" t="s">
        <v>281</v>
      </c>
      <c r="R11" t="s">
        <v>282</v>
      </c>
      <c r="S11" t="s">
        <v>283</v>
      </c>
      <c r="AS11" t="s">
        <v>658</v>
      </c>
      <c r="AT11" t="s">
        <v>659</v>
      </c>
      <c r="AU11" t="s">
        <v>660</v>
      </c>
    </row>
    <row r="12" ht="12.75" customHeight="true">
      <c r="I12" t="s">
        <v>107</v>
      </c>
      <c r="J12" t="s">
        <v>108</v>
      </c>
      <c r="K12" t="s">
        <v>109</v>
      </c>
      <c r="M12" t="s">
        <v>230</v>
      </c>
      <c r="N12" t="s">
        <v>231</v>
      </c>
      <c r="O12" t="s">
        <v>232</v>
      </c>
      <c r="Q12" t="s">
        <v>284</v>
      </c>
      <c r="R12" t="s">
        <v>285</v>
      </c>
      <c r="S12" t="s">
        <v>286</v>
      </c>
      <c r="AS12" t="s">
        <v>661</v>
      </c>
      <c r="AT12" t="s">
        <v>662</v>
      </c>
      <c r="AU12" t="s">
        <v>663</v>
      </c>
    </row>
    <row r="13" ht="12.75" customHeight="true">
      <c r="I13" t="s">
        <v>110</v>
      </c>
      <c r="J13" t="s">
        <v>111</v>
      </c>
      <c r="K13" t="s">
        <v>112</v>
      </c>
      <c r="M13" t="s">
        <v>233</v>
      </c>
      <c r="N13" t="s">
        <v>234</v>
      </c>
      <c r="O13" t="s">
        <v>235</v>
      </c>
      <c r="Q13" t="s">
        <v>287</v>
      </c>
      <c r="R13" t="s">
        <v>288</v>
      </c>
      <c r="S13" t="s">
        <v>289</v>
      </c>
      <c r="AS13" t="s">
        <v>664</v>
      </c>
      <c r="AT13" t="s">
        <v>665</v>
      </c>
      <c r="AU13" t="s">
        <v>666</v>
      </c>
    </row>
    <row r="14" ht="12.75" customHeight="true">
      <c r="I14" t="s">
        <v>113</v>
      </c>
      <c r="J14" t="s">
        <v>114</v>
      </c>
      <c r="K14" t="s">
        <v>115</v>
      </c>
      <c r="M14" t="s">
        <v>236</v>
      </c>
      <c r="N14" t="s">
        <v>237</v>
      </c>
      <c r="O14" t="s">
        <v>238</v>
      </c>
      <c r="Q14" t="s">
        <v>290</v>
      </c>
      <c r="R14" t="s">
        <v>291</v>
      </c>
      <c r="S14" t="s">
        <v>292</v>
      </c>
      <c r="AS14" t="s">
        <v>667</v>
      </c>
      <c r="AT14" t="s">
        <v>668</v>
      </c>
      <c r="AU14" t="s">
        <v>669</v>
      </c>
    </row>
    <row r="15" ht="12.75" customHeight="true">
      <c r="I15" t="s">
        <v>116</v>
      </c>
      <c r="J15" t="s">
        <v>117</v>
      </c>
      <c r="K15" t="s">
        <v>118</v>
      </c>
      <c r="M15" t="s">
        <v>239</v>
      </c>
      <c r="N15" t="s">
        <v>240</v>
      </c>
      <c r="O15" t="s">
        <v>241</v>
      </c>
      <c r="Q15" t="s">
        <v>293</v>
      </c>
      <c r="R15" t="s">
        <v>294</v>
      </c>
      <c r="S15" t="s">
        <v>295</v>
      </c>
      <c r="AS15" t="s">
        <v>670</v>
      </c>
      <c r="AT15" t="s">
        <v>671</v>
      </c>
      <c r="AU15" t="s">
        <v>672</v>
      </c>
    </row>
    <row r="16" ht="12.75" customHeight="true">
      <c r="I16" t="s">
        <v>119</v>
      </c>
      <c r="J16" t="s">
        <v>120</v>
      </c>
      <c r="K16" t="s">
        <v>121</v>
      </c>
      <c r="M16" t="s">
        <v>242</v>
      </c>
      <c r="N16" t="s">
        <v>243</v>
      </c>
      <c r="O16" t="s">
        <v>244</v>
      </c>
      <c r="Q16" t="s">
        <v>296</v>
      </c>
      <c r="R16" t="s">
        <v>297</v>
      </c>
      <c r="S16" t="s">
        <v>298</v>
      </c>
      <c r="AS16" t="s">
        <v>673</v>
      </c>
      <c r="AT16" t="s">
        <v>674</v>
      </c>
      <c r="AU16" t="s">
        <v>675</v>
      </c>
    </row>
    <row r="17" ht="12.75" customHeight="true">
      <c r="I17" t="s">
        <v>122</v>
      </c>
      <c r="J17" t="s">
        <v>123</v>
      </c>
      <c r="K17" t="s">
        <v>124</v>
      </c>
      <c r="M17" t="s">
        <v>245</v>
      </c>
      <c r="N17" t="s">
        <v>246</v>
      </c>
      <c r="O17" t="s">
        <v>247</v>
      </c>
      <c r="Q17" t="s">
        <v>299</v>
      </c>
      <c r="R17" t="s">
        <v>300</v>
      </c>
      <c r="S17" t="s">
        <v>301</v>
      </c>
      <c r="AS17" t="s">
        <v>676</v>
      </c>
      <c r="AT17" t="s">
        <v>677</v>
      </c>
      <c r="AU17" t="s">
        <v>678</v>
      </c>
    </row>
    <row r="18" ht="12.75" customHeight="true">
      <c r="I18" t="s">
        <v>125</v>
      </c>
      <c r="J18" t="s">
        <v>126</v>
      </c>
      <c r="K18" t="s">
        <v>127</v>
      </c>
      <c r="M18" t="s">
        <v>248</v>
      </c>
      <c r="N18" t="s">
        <v>249</v>
      </c>
      <c r="O18" t="s">
        <v>250</v>
      </c>
      <c r="Q18" t="s">
        <v>302</v>
      </c>
      <c r="R18" t="s">
        <v>303</v>
      </c>
      <c r="S18" t="s">
        <v>304</v>
      </c>
      <c r="AS18" t="s">
        <v>679</v>
      </c>
      <c r="AT18" t="s">
        <v>680</v>
      </c>
      <c r="AU18" t="s">
        <v>681</v>
      </c>
    </row>
    <row r="19" ht="12.75" customHeight="true">
      <c r="I19" t="s">
        <v>128</v>
      </c>
      <c r="J19" t="s">
        <v>129</v>
      </c>
      <c r="K19" t="s">
        <v>130</v>
      </c>
      <c r="M19" t="s">
        <v>251</v>
      </c>
      <c r="N19" t="s">
        <v>252</v>
      </c>
      <c r="O19" t="s">
        <v>253</v>
      </c>
      <c r="Q19" t="s">
        <v>305</v>
      </c>
      <c r="R19" t="s">
        <v>306</v>
      </c>
      <c r="S19" t="s">
        <v>307</v>
      </c>
      <c r="AS19" t="s">
        <v>682</v>
      </c>
      <c r="AT19" t="s">
        <v>683</v>
      </c>
      <c r="AU19" t="s">
        <v>684</v>
      </c>
    </row>
    <row r="20" ht="12.75" customHeight="true">
      <c r="I20" t="s">
        <v>131</v>
      </c>
      <c r="J20" t="s">
        <v>132</v>
      </c>
      <c r="K20" t="s">
        <v>133</v>
      </c>
      <c r="Q20" t="s">
        <v>308</v>
      </c>
      <c r="R20" t="s">
        <v>309</v>
      </c>
      <c r="S20" t="s">
        <v>310</v>
      </c>
      <c r="AS20" t="s">
        <v>685</v>
      </c>
      <c r="AT20" t="s">
        <v>686</v>
      </c>
      <c r="AU20" t="s">
        <v>687</v>
      </c>
    </row>
    <row r="21" ht="12.75" customHeight="true">
      <c r="I21" t="s">
        <v>134</v>
      </c>
      <c r="J21" t="s">
        <v>135</v>
      </c>
      <c r="K21" t="s">
        <v>136</v>
      </c>
      <c r="Q21" t="s">
        <v>311</v>
      </c>
      <c r="R21" t="s">
        <v>312</v>
      </c>
      <c r="S21" t="s">
        <v>313</v>
      </c>
      <c r="AS21" t="s">
        <v>688</v>
      </c>
      <c r="AT21" t="s">
        <v>689</v>
      </c>
      <c r="AU21" t="s">
        <v>690</v>
      </c>
    </row>
    <row r="22" ht="12.75" customHeight="true">
      <c r="I22" t="s">
        <v>137</v>
      </c>
      <c r="J22" t="s">
        <v>138</v>
      </c>
      <c r="K22" t="s">
        <v>139</v>
      </c>
      <c r="Q22" t="s">
        <v>314</v>
      </c>
      <c r="R22" t="s">
        <v>315</v>
      </c>
      <c r="S22" t="s">
        <v>316</v>
      </c>
      <c r="AS22" t="s">
        <v>691</v>
      </c>
      <c r="AT22" t="s">
        <v>692</v>
      </c>
      <c r="AU22" t="s">
        <v>693</v>
      </c>
    </row>
    <row r="23" ht="12.75" customHeight="true">
      <c r="I23" t="s">
        <v>140</v>
      </c>
      <c r="J23" t="s">
        <v>141</v>
      </c>
      <c r="K23" t="s">
        <v>142</v>
      </c>
      <c r="Q23" t="s">
        <v>317</v>
      </c>
      <c r="R23" t="s">
        <v>318</v>
      </c>
      <c r="S23" t="s">
        <v>319</v>
      </c>
      <c r="AS23" t="s">
        <v>694</v>
      </c>
      <c r="AT23" t="s">
        <v>695</v>
      </c>
      <c r="AU23" t="s">
        <v>696</v>
      </c>
    </row>
    <row r="24" ht="12.75" customHeight="true">
      <c r="I24" t="s">
        <v>143</v>
      </c>
      <c r="J24" t="s">
        <v>144</v>
      </c>
      <c r="K24" t="s">
        <v>145</v>
      </c>
      <c r="Q24" t="s">
        <v>320</v>
      </c>
      <c r="R24" t="s">
        <v>321</v>
      </c>
      <c r="S24" t="s">
        <v>322</v>
      </c>
      <c r="AS24" t="s">
        <v>697</v>
      </c>
      <c r="AT24" t="s">
        <v>698</v>
      </c>
      <c r="AU24" t="s">
        <v>699</v>
      </c>
    </row>
    <row r="25" ht="12.75" customHeight="true">
      <c r="I25" t="s">
        <v>146</v>
      </c>
      <c r="J25" t="s">
        <v>147</v>
      </c>
      <c r="K25" t="s">
        <v>148</v>
      </c>
      <c r="Q25" t="s">
        <v>323</v>
      </c>
      <c r="R25" t="s">
        <v>324</v>
      </c>
      <c r="S25" t="s">
        <v>325</v>
      </c>
      <c r="AS25" t="s">
        <v>700</v>
      </c>
      <c r="AT25" t="s">
        <v>701</v>
      </c>
      <c r="AU25" t="s">
        <v>702</v>
      </c>
    </row>
    <row r="26" ht="12.75" customHeight="true">
      <c r="I26" t="s">
        <v>149</v>
      </c>
      <c r="J26" t="s">
        <v>150</v>
      </c>
      <c r="K26" t="s">
        <v>151</v>
      </c>
      <c r="Q26" t="s">
        <v>326</v>
      </c>
      <c r="R26" t="s">
        <v>327</v>
      </c>
      <c r="S26" t="s">
        <v>328</v>
      </c>
      <c r="AS26" t="s">
        <v>703</v>
      </c>
      <c r="AT26" t="s">
        <v>704</v>
      </c>
      <c r="AU26" t="s">
        <v>705</v>
      </c>
    </row>
    <row r="27" ht="12.75" customHeight="true">
      <c r="I27" t="s">
        <v>152</v>
      </c>
      <c r="J27" t="s">
        <v>153</v>
      </c>
      <c r="K27" t="s">
        <v>154</v>
      </c>
      <c r="Q27" t="s">
        <v>329</v>
      </c>
      <c r="R27" t="s">
        <v>330</v>
      </c>
      <c r="S27" t="s">
        <v>331</v>
      </c>
      <c r="AS27" t="s">
        <v>706</v>
      </c>
      <c r="AT27" t="s">
        <v>707</v>
      </c>
      <c r="AU27" t="s">
        <v>708</v>
      </c>
    </row>
    <row r="28" ht="12.75" customHeight="true">
      <c r="I28" t="s">
        <v>155</v>
      </c>
      <c r="J28" t="s">
        <v>156</v>
      </c>
      <c r="K28" t="s">
        <v>157</v>
      </c>
      <c r="Q28" t="s">
        <v>332</v>
      </c>
      <c r="R28" t="s">
        <v>333</v>
      </c>
      <c r="S28" t="s">
        <v>334</v>
      </c>
      <c r="AS28" t="s">
        <v>709</v>
      </c>
      <c r="AT28" t="s">
        <v>710</v>
      </c>
      <c r="AU28" t="s">
        <v>711</v>
      </c>
    </row>
    <row r="29" ht="12.75" customHeight="true">
      <c r="I29" t="s">
        <v>158</v>
      </c>
      <c r="J29" t="s">
        <v>159</v>
      </c>
      <c r="K29" t="s">
        <v>160</v>
      </c>
      <c r="Q29" t="s">
        <v>335</v>
      </c>
      <c r="R29" t="s">
        <v>336</v>
      </c>
      <c r="S29" t="s">
        <v>337</v>
      </c>
      <c r="AS29" t="s">
        <v>712</v>
      </c>
      <c r="AT29" t="s">
        <v>713</v>
      </c>
      <c r="AU29" t="s">
        <v>714</v>
      </c>
    </row>
    <row r="30" ht="12.75" customHeight="true">
      <c r="I30" t="s">
        <v>161</v>
      </c>
      <c r="J30" t="s">
        <v>162</v>
      </c>
      <c r="K30" t="s">
        <v>163</v>
      </c>
      <c r="Q30" t="s">
        <v>338</v>
      </c>
      <c r="R30" t="s">
        <v>339</v>
      </c>
      <c r="S30" t="s">
        <v>340</v>
      </c>
      <c r="AS30" t="s">
        <v>715</v>
      </c>
      <c r="AT30" t="s">
        <v>716</v>
      </c>
      <c r="AU30" t="s">
        <v>717</v>
      </c>
    </row>
    <row r="31" ht="12.75" customHeight="true">
      <c r="I31" t="s">
        <v>164</v>
      </c>
      <c r="J31" t="s">
        <v>165</v>
      </c>
      <c r="K31" t="s">
        <v>166</v>
      </c>
      <c r="Q31" t="s">
        <v>341</v>
      </c>
      <c r="R31" t="s">
        <v>342</v>
      </c>
      <c r="S31" t="s">
        <v>343</v>
      </c>
      <c r="AS31" t="s">
        <v>718</v>
      </c>
      <c r="AT31" t="s">
        <v>719</v>
      </c>
      <c r="AU31" t="s">
        <v>720</v>
      </c>
    </row>
    <row r="32" ht="12.75" customHeight="true">
      <c r="I32" t="s">
        <v>167</v>
      </c>
      <c r="J32" t="s">
        <v>168</v>
      </c>
      <c r="K32" t="s">
        <v>169</v>
      </c>
      <c r="Q32" t="s">
        <v>344</v>
      </c>
      <c r="R32" t="s">
        <v>345</v>
      </c>
      <c r="S32" t="s">
        <v>346</v>
      </c>
      <c r="AS32" t="s">
        <v>721</v>
      </c>
      <c r="AT32" t="s">
        <v>722</v>
      </c>
      <c r="AU32" t="s">
        <v>723</v>
      </c>
    </row>
    <row r="33" ht="12.75" customHeight="true">
      <c r="I33" t="s">
        <v>170</v>
      </c>
      <c r="J33" t="s">
        <v>171</v>
      </c>
      <c r="K33" t="s">
        <v>172</v>
      </c>
      <c r="Q33" t="s">
        <v>347</v>
      </c>
      <c r="R33" t="s">
        <v>348</v>
      </c>
      <c r="S33" t="s">
        <v>349</v>
      </c>
      <c r="AS33" t="s">
        <v>724</v>
      </c>
      <c r="AT33" t="s">
        <v>725</v>
      </c>
      <c r="AU33" t="s">
        <v>726</v>
      </c>
    </row>
    <row r="34" ht="12.75" customHeight="true">
      <c r="I34" t="s">
        <v>173</v>
      </c>
      <c r="J34" t="s">
        <v>174</v>
      </c>
      <c r="K34" t="s">
        <v>175</v>
      </c>
      <c r="Q34" t="s">
        <v>350</v>
      </c>
      <c r="R34" t="s">
        <v>351</v>
      </c>
      <c r="S34" t="s">
        <v>352</v>
      </c>
      <c r="AS34" t="s">
        <v>727</v>
      </c>
      <c r="AT34" t="s">
        <v>728</v>
      </c>
      <c r="AU34" t="s">
        <v>729</v>
      </c>
    </row>
    <row r="35" ht="12.75" customHeight="true">
      <c r="I35" t="s">
        <v>176</v>
      </c>
      <c r="J35" t="s">
        <v>177</v>
      </c>
      <c r="K35" t="s">
        <v>178</v>
      </c>
      <c r="Q35" t="s">
        <v>353</v>
      </c>
      <c r="R35" t="s">
        <v>354</v>
      </c>
      <c r="S35" t="s">
        <v>355</v>
      </c>
      <c r="AS35" t="s">
        <v>730</v>
      </c>
      <c r="AT35" t="s">
        <v>731</v>
      </c>
      <c r="AU35" t="s">
        <v>732</v>
      </c>
    </row>
    <row r="36" ht="12.75" customHeight="true">
      <c r="I36" t="s">
        <v>179</v>
      </c>
      <c r="J36" t="s">
        <v>180</v>
      </c>
      <c r="K36" t="s">
        <v>181</v>
      </c>
      <c r="Q36" t="s">
        <v>356</v>
      </c>
      <c r="R36" t="s">
        <v>357</v>
      </c>
      <c r="S36" t="s">
        <v>358</v>
      </c>
      <c r="AS36" t="s">
        <v>733</v>
      </c>
      <c r="AT36" t="s">
        <v>734</v>
      </c>
      <c r="AU36" t="s">
        <v>735</v>
      </c>
    </row>
    <row r="37" ht="12.75" customHeight="true">
      <c r="I37" t="s">
        <v>182</v>
      </c>
      <c r="J37" t="s">
        <v>183</v>
      </c>
      <c r="K37" t="s">
        <v>184</v>
      </c>
      <c r="Q37" t="s">
        <v>359</v>
      </c>
      <c r="R37" t="s">
        <v>360</v>
      </c>
      <c r="S37" t="s">
        <v>349</v>
      </c>
      <c r="AS37" t="s">
        <v>736</v>
      </c>
      <c r="AT37" t="s">
        <v>737</v>
      </c>
      <c r="AU37" t="s">
        <v>738</v>
      </c>
    </row>
    <row r="38" ht="12.75" customHeight="true">
      <c r="I38" t="s">
        <v>185</v>
      </c>
      <c r="J38" t="s">
        <v>186</v>
      </c>
      <c r="K38" t="s">
        <v>187</v>
      </c>
      <c r="Q38" t="s">
        <v>361</v>
      </c>
      <c r="R38" t="s">
        <v>362</v>
      </c>
      <c r="S38" t="s">
        <v>355</v>
      </c>
      <c r="AS38" t="s">
        <v>739</v>
      </c>
      <c r="AT38" t="s">
        <v>740</v>
      </c>
      <c r="AU38" t="s">
        <v>741</v>
      </c>
    </row>
    <row r="39" ht="12.75" customHeight="true">
      <c r="I39" t="s">
        <v>188</v>
      </c>
      <c r="J39" t="s">
        <v>189</v>
      </c>
      <c r="K39" t="s">
        <v>190</v>
      </c>
      <c r="Q39" t="s">
        <v>363</v>
      </c>
      <c r="R39" t="s">
        <v>364</v>
      </c>
      <c r="S39" t="s">
        <v>365</v>
      </c>
      <c r="AS39" t="s">
        <v>742</v>
      </c>
      <c r="AT39" t="s">
        <v>743</v>
      </c>
      <c r="AU39" t="s">
        <v>744</v>
      </c>
    </row>
    <row r="40" ht="12.75" customHeight="true">
      <c r="I40" t="s">
        <v>191</v>
      </c>
      <c r="J40" t="s">
        <v>192</v>
      </c>
      <c r="K40" t="s">
        <v>193</v>
      </c>
      <c r="Q40" t="s">
        <v>366</v>
      </c>
      <c r="R40" t="s">
        <v>367</v>
      </c>
      <c r="S40" t="s">
        <v>368</v>
      </c>
      <c r="AS40" t="s">
        <v>745</v>
      </c>
      <c r="AT40" t="s">
        <v>746</v>
      </c>
      <c r="AU40" t="s">
        <v>747</v>
      </c>
    </row>
    <row r="41" ht="12.75" customHeight="true">
      <c r="I41" t="s">
        <v>194</v>
      </c>
      <c r="J41" t="s">
        <v>195</v>
      </c>
      <c r="K41" t="s">
        <v>196</v>
      </c>
      <c r="Q41" t="s">
        <v>369</v>
      </c>
      <c r="R41" t="s">
        <v>370</v>
      </c>
      <c r="S41" t="s">
        <v>371</v>
      </c>
      <c r="AS41" t="s">
        <v>748</v>
      </c>
      <c r="AT41" t="s">
        <v>749</v>
      </c>
      <c r="AU41" t="s">
        <v>750</v>
      </c>
    </row>
    <row r="42" ht="12.75" customHeight="true">
      <c r="I42" t="s">
        <v>197</v>
      </c>
      <c r="J42" t="s">
        <v>198</v>
      </c>
      <c r="K42" t="s">
        <v>199</v>
      </c>
      <c r="Q42" t="s">
        <v>372</v>
      </c>
      <c r="R42" t="s">
        <v>373</v>
      </c>
      <c r="S42" t="s">
        <v>374</v>
      </c>
      <c r="AS42" t="s">
        <v>751</v>
      </c>
      <c r="AT42" t="s">
        <v>752</v>
      </c>
      <c r="AU42" t="s">
        <v>753</v>
      </c>
    </row>
    <row r="43" ht="12.75" customHeight="true">
      <c r="Q43" t="s">
        <v>375</v>
      </c>
      <c r="R43" t="s">
        <v>376</v>
      </c>
      <c r="S43" t="s">
        <v>377</v>
      </c>
      <c r="AS43" t="s">
        <v>754</v>
      </c>
      <c r="AT43" t="s">
        <v>755</v>
      </c>
      <c r="AU43" t="s">
        <v>756</v>
      </c>
    </row>
    <row r="44" ht="12.75" customHeight="true">
      <c r="Q44" t="s">
        <v>378</v>
      </c>
      <c r="R44" t="s">
        <v>379</v>
      </c>
      <c r="S44" t="s">
        <v>380</v>
      </c>
      <c r="AS44" t="s">
        <v>757</v>
      </c>
      <c r="AT44" t="s">
        <v>758</v>
      </c>
      <c r="AU44" t="s">
        <v>759</v>
      </c>
    </row>
    <row r="45" ht="12.75" customHeight="true">
      <c r="Q45" t="s">
        <v>381</v>
      </c>
      <c r="R45" t="s">
        <v>382</v>
      </c>
      <c r="S45" t="s">
        <v>383</v>
      </c>
      <c r="AS45" t="s">
        <v>760</v>
      </c>
      <c r="AT45" t="s">
        <v>761</v>
      </c>
      <c r="AU45" t="s">
        <v>762</v>
      </c>
    </row>
    <row r="46" ht="12.75" customHeight="true">
      <c r="Q46" t="s">
        <v>384</v>
      </c>
      <c r="R46" t="s">
        <v>385</v>
      </c>
      <c r="S46" t="s">
        <v>386</v>
      </c>
      <c r="AS46" t="s">
        <v>763</v>
      </c>
      <c r="AT46" t="s">
        <v>764</v>
      </c>
      <c r="AU46" t="s">
        <v>765</v>
      </c>
    </row>
    <row r="47" ht="12.75" customHeight="true">
      <c r="Q47" t="s">
        <v>387</v>
      </c>
      <c r="R47" t="s">
        <v>388</v>
      </c>
      <c r="S47" t="s">
        <v>389</v>
      </c>
      <c r="AS47" t="s">
        <v>766</v>
      </c>
      <c r="AT47" t="s">
        <v>767</v>
      </c>
      <c r="AU47" t="s">
        <v>768</v>
      </c>
    </row>
    <row r="48" ht="12.75" customHeight="true">
      <c r="Q48" t="s">
        <v>390</v>
      </c>
      <c r="R48" t="s">
        <v>391</v>
      </c>
      <c r="S48" t="s">
        <v>392</v>
      </c>
      <c r="AS48" t="s">
        <v>769</v>
      </c>
      <c r="AT48" t="s">
        <v>770</v>
      </c>
      <c r="AU48" t="s">
        <v>771</v>
      </c>
    </row>
    <row r="49" ht="12.75" customHeight="true">
      <c r="Q49" t="s">
        <v>393</v>
      </c>
      <c r="R49" t="s">
        <v>394</v>
      </c>
      <c r="S49" t="s">
        <v>395</v>
      </c>
      <c r="AS49" t="s">
        <v>772</v>
      </c>
      <c r="AT49" t="s">
        <v>773</v>
      </c>
      <c r="AU49" t="s">
        <v>774</v>
      </c>
    </row>
    <row r="50" ht="12.75" customHeight="true">
      <c r="Q50" t="s">
        <v>396</v>
      </c>
      <c r="R50" t="s">
        <v>397</v>
      </c>
      <c r="S50" t="s">
        <v>380</v>
      </c>
      <c r="AS50" t="s">
        <v>775</v>
      </c>
      <c r="AT50" t="s">
        <v>776</v>
      </c>
      <c r="AU50" t="s">
        <v>777</v>
      </c>
    </row>
    <row r="51" ht="12.75" customHeight="true">
      <c r="Q51" t="s">
        <v>398</v>
      </c>
      <c r="R51" t="s">
        <v>399</v>
      </c>
      <c r="S51" t="s">
        <v>400</v>
      </c>
      <c r="AS51" t="s">
        <v>778</v>
      </c>
      <c r="AT51" t="s">
        <v>779</v>
      </c>
      <c r="AU51" t="s">
        <v>780</v>
      </c>
    </row>
    <row r="52" ht="12.75" customHeight="true">
      <c r="Q52" t="s">
        <v>401</v>
      </c>
      <c r="R52" t="s">
        <v>402</v>
      </c>
      <c r="S52" t="s">
        <v>386</v>
      </c>
      <c r="AS52" t="s">
        <v>781</v>
      </c>
      <c r="AT52" t="s">
        <v>782</v>
      </c>
      <c r="AU52" t="s">
        <v>783</v>
      </c>
    </row>
    <row r="53" ht="12.75" customHeight="true">
      <c r="Q53" t="s">
        <v>403</v>
      </c>
      <c r="R53" t="s">
        <v>404</v>
      </c>
      <c r="S53" t="s">
        <v>389</v>
      </c>
      <c r="AS53" t="s">
        <v>784</v>
      </c>
      <c r="AT53" t="s">
        <v>785</v>
      </c>
      <c r="AU53" t="s">
        <v>786</v>
      </c>
    </row>
    <row r="54" ht="12.75" customHeight="true">
      <c r="Q54" t="s">
        <v>405</v>
      </c>
      <c r="R54" t="s">
        <v>406</v>
      </c>
      <c r="S54" t="s">
        <v>407</v>
      </c>
      <c r="AS54" t="s">
        <v>787</v>
      </c>
      <c r="AT54" t="s">
        <v>788</v>
      </c>
      <c r="AU54" t="s">
        <v>789</v>
      </c>
    </row>
    <row r="55" ht="12.75" customHeight="true">
      <c r="Q55" t="s">
        <v>408</v>
      </c>
      <c r="R55" t="s">
        <v>409</v>
      </c>
      <c r="S55" t="s">
        <v>410</v>
      </c>
      <c r="AS55" t="s">
        <v>790</v>
      </c>
      <c r="AT55" t="s">
        <v>791</v>
      </c>
      <c r="AU55" t="s">
        <v>792</v>
      </c>
    </row>
    <row r="56" ht="12.75" customHeight="true">
      <c r="Q56" t="s">
        <v>411</v>
      </c>
      <c r="R56" t="s">
        <v>412</v>
      </c>
      <c r="S56" t="s">
        <v>413</v>
      </c>
      <c r="AS56" t="s">
        <v>793</v>
      </c>
      <c r="AT56" t="s">
        <v>794</v>
      </c>
      <c r="AU56" t="s">
        <v>795</v>
      </c>
    </row>
    <row r="57" ht="12.75" customHeight="true">
      <c r="Q57" t="s">
        <v>414</v>
      </c>
      <c r="R57" t="s">
        <v>415</v>
      </c>
      <c r="S57" t="s">
        <v>416</v>
      </c>
    </row>
    <row r="58" ht="12.75" customHeight="true">
      <c r="Q58" t="s">
        <v>417</v>
      </c>
      <c r="R58" t="s">
        <v>418</v>
      </c>
      <c r="S58" t="s">
        <v>419</v>
      </c>
    </row>
    <row r="59" ht="12.75" customHeight="true">
      <c r="Q59" t="s">
        <v>420</v>
      </c>
      <c r="R59" t="s">
        <v>421</v>
      </c>
      <c r="S59" t="s">
        <v>422</v>
      </c>
    </row>
    <row r="60" ht="12.75" customHeight="true">
      <c r="Q60" t="s">
        <v>423</v>
      </c>
      <c r="R60" t="s">
        <v>424</v>
      </c>
      <c r="S60" t="s">
        <v>425</v>
      </c>
    </row>
    <row r="61" ht="12.75" customHeight="true">
      <c r="Q61" t="s">
        <v>426</v>
      </c>
      <c r="R61" t="s">
        <v>427</v>
      </c>
      <c r="S61" t="s">
        <v>428</v>
      </c>
    </row>
    <row r="62" ht="12.75" customHeight="true">
      <c r="Q62" t="s">
        <v>429</v>
      </c>
      <c r="R62" t="s">
        <v>430</v>
      </c>
      <c r="S62" t="s">
        <v>431</v>
      </c>
    </row>
    <row r="63" ht="12.75" customHeight="true">
      <c r="Q63" t="s">
        <v>432</v>
      </c>
      <c r="R63" t="s">
        <v>433</v>
      </c>
      <c r="S63" t="s">
        <v>434</v>
      </c>
    </row>
    <row r="64" ht="12.75" customHeight="true">
      <c r="Q64" t="s">
        <v>435</v>
      </c>
      <c r="R64" t="s">
        <v>436</v>
      </c>
      <c r="S64" t="s">
        <v>437</v>
      </c>
    </row>
    <row r="65" ht="12.75" customHeight="true">
      <c r="Q65" t="s">
        <v>438</v>
      </c>
      <c r="R65" t="s">
        <v>439</v>
      </c>
      <c r="S65" t="s">
        <v>428</v>
      </c>
    </row>
    <row r="66" ht="12.75" customHeight="true">
      <c r="Q66" t="s">
        <v>440</v>
      </c>
      <c r="R66" t="s">
        <v>441</v>
      </c>
      <c r="S66" t="s">
        <v>442</v>
      </c>
    </row>
    <row r="67" ht="12.75" customHeight="true">
      <c r="Q67" t="s">
        <v>443</v>
      </c>
      <c r="R67" t="s">
        <v>444</v>
      </c>
      <c r="S67" t="s">
        <v>431</v>
      </c>
    </row>
    <row r="68" ht="12.75" customHeight="true">
      <c r="Q68" t="s">
        <v>445</v>
      </c>
      <c r="R68" t="s">
        <v>446</v>
      </c>
      <c r="S68" t="s">
        <v>447</v>
      </c>
    </row>
    <row r="69" ht="12.75" customHeight="true">
      <c r="Q69" t="s">
        <v>448</v>
      </c>
      <c r="R69" t="s">
        <v>449</v>
      </c>
      <c r="S69" t="s">
        <v>450</v>
      </c>
    </row>
    <row r="70" ht="12.75" customHeight="true">
      <c r="Q70" t="s">
        <v>451</v>
      </c>
      <c r="R70" t="s">
        <v>452</v>
      </c>
      <c r="S70" t="s">
        <v>453</v>
      </c>
    </row>
    <row r="71" ht="12.75" customHeight="true">
      <c r="Q71" t="s">
        <v>454</v>
      </c>
      <c r="R71" t="s">
        <v>455</v>
      </c>
      <c r="S71" t="s">
        <v>456</v>
      </c>
    </row>
    <row r="72" ht="12.75" customHeight="true">
      <c r="Q72" t="s">
        <v>457</v>
      </c>
      <c r="R72" t="s">
        <v>458</v>
      </c>
      <c r="S72" t="s">
        <v>459</v>
      </c>
    </row>
    <row r="73" ht="12.75" customHeight="true">
      <c r="Q73" t="s">
        <v>460</v>
      </c>
      <c r="R73" t="s">
        <v>461</v>
      </c>
      <c r="S73" t="s">
        <v>462</v>
      </c>
    </row>
    <row r="74" ht="12.75" customHeight="true">
      <c r="Q74" t="s">
        <v>463</v>
      </c>
      <c r="R74" t="s">
        <v>464</v>
      </c>
      <c r="S74" t="s">
        <v>465</v>
      </c>
    </row>
    <row r="75" ht="12.75" customHeight="true">
      <c r="Q75" t="s">
        <v>466</v>
      </c>
      <c r="R75" t="s">
        <v>467</v>
      </c>
      <c r="S75" t="s">
        <v>468</v>
      </c>
    </row>
    <row r="76" ht="12.75" customHeight="true">
      <c r="Q76" t="s">
        <v>469</v>
      </c>
      <c r="R76" t="s">
        <v>470</v>
      </c>
      <c r="S76" t="s">
        <v>471</v>
      </c>
    </row>
    <row r="77" ht="12.75" customHeight="true">
      <c r="Q77" t="s">
        <v>472</v>
      </c>
      <c r="R77" t="s">
        <v>473</v>
      </c>
      <c r="S77" t="s">
        <v>474</v>
      </c>
    </row>
    <row r="78" ht="12.75" customHeight="true">
      <c r="Q78" t="s">
        <v>475</v>
      </c>
      <c r="R78" t="s">
        <v>476</v>
      </c>
      <c r="S78" t="s">
        <v>477</v>
      </c>
    </row>
    <row r="79" ht="12.75" customHeight="true">
      <c r="Q79" t="s">
        <v>478</v>
      </c>
      <c r="R79" t="s">
        <v>479</v>
      </c>
      <c r="S79" t="s">
        <v>456</v>
      </c>
    </row>
    <row r="80" ht="12.75" customHeight="true">
      <c r="Q80" t="s">
        <v>480</v>
      </c>
      <c r="R80" t="s">
        <v>481</v>
      </c>
      <c r="S80" t="s">
        <v>453</v>
      </c>
    </row>
    <row r="81" ht="12.75" customHeight="true">
      <c r="Q81" t="s">
        <v>482</v>
      </c>
      <c r="R81" t="s">
        <v>483</v>
      </c>
      <c r="S81" t="s">
        <v>459</v>
      </c>
    </row>
    <row r="82" ht="12.75" customHeight="true">
      <c r="Q82" t="s">
        <v>484</v>
      </c>
      <c r="R82" t="s">
        <v>485</v>
      </c>
      <c r="S82" t="s">
        <v>462</v>
      </c>
    </row>
    <row r="83" ht="12.75" customHeight="true">
      <c r="Q83" t="s">
        <v>486</v>
      </c>
      <c r="R83" t="s">
        <v>487</v>
      </c>
      <c r="S83" t="s">
        <v>488</v>
      </c>
    </row>
    <row r="84" ht="12.75" customHeight="true">
      <c r="Q84" t="s">
        <v>489</v>
      </c>
      <c r="R84" t="s">
        <v>490</v>
      </c>
      <c r="S84" t="s">
        <v>465</v>
      </c>
    </row>
    <row r="85" ht="12.75" customHeight="true">
      <c r="Q85" t="s">
        <v>491</v>
      </c>
      <c r="R85" t="s">
        <v>492</v>
      </c>
      <c r="S85" t="s">
        <v>468</v>
      </c>
    </row>
    <row r="86" ht="12.75" customHeight="true">
      <c r="Q86" t="s">
        <v>493</v>
      </c>
      <c r="R86" t="s">
        <v>494</v>
      </c>
      <c r="S86" t="s">
        <v>495</v>
      </c>
    </row>
    <row r="87" ht="12.75" customHeight="true">
      <c r="Q87" t="s">
        <v>496</v>
      </c>
      <c r="R87" t="s">
        <v>497</v>
      </c>
      <c r="S87" t="s">
        <v>498</v>
      </c>
    </row>
    <row r="88" ht="12.75" customHeight="true">
      <c r="Q88" t="s">
        <v>499</v>
      </c>
      <c r="R88" t="s">
        <v>500</v>
      </c>
      <c r="S88" t="s">
        <v>501</v>
      </c>
    </row>
    <row r="89" ht="12.75" customHeight="true">
      <c r="Q89" t="s">
        <v>502</v>
      </c>
      <c r="R89" t="s">
        <v>503</v>
      </c>
      <c r="S89" t="s">
        <v>504</v>
      </c>
    </row>
    <row r="90" ht="12.75" customHeight="true">
      <c r="Q90" t="s">
        <v>505</v>
      </c>
      <c r="R90" t="s">
        <v>506</v>
      </c>
      <c r="S90" t="s">
        <v>507</v>
      </c>
    </row>
    <row r="91" ht="12.75" customHeight="true">
      <c r="Q91" t="s">
        <v>508</v>
      </c>
      <c r="R91" t="s">
        <v>509</v>
      </c>
      <c r="S91" t="s">
        <v>510</v>
      </c>
    </row>
    <row r="92" ht="12.75" customHeight="true">
      <c r="Q92" t="s">
        <v>511</v>
      </c>
      <c r="R92" t="s">
        <v>512</v>
      </c>
      <c r="S92" t="s">
        <v>513</v>
      </c>
    </row>
    <row r="93" ht="12.75" customHeight="true">
      <c r="Q93" t="s">
        <v>514</v>
      </c>
      <c r="R93" t="s">
        <v>515</v>
      </c>
      <c r="S93" t="s">
        <v>516</v>
      </c>
    </row>
    <row r="94" ht="12.75" customHeight="true">
      <c r="Q94" t="s">
        <v>517</v>
      </c>
      <c r="R94" t="s">
        <v>518</v>
      </c>
      <c r="S94" t="s">
        <v>519</v>
      </c>
    </row>
    <row r="95" ht="12.75" customHeight="true">
      <c r="Q95" t="s">
        <v>520</v>
      </c>
      <c r="R95" t="s">
        <v>521</v>
      </c>
      <c r="S95" t="s">
        <v>522</v>
      </c>
    </row>
    <row r="96" ht="12.75" customHeight="true">
      <c r="Q96" t="s">
        <v>523</v>
      </c>
      <c r="R96" t="s">
        <v>524</v>
      </c>
      <c r="S96" t="s">
        <v>525</v>
      </c>
    </row>
    <row r="97" ht="12.75" customHeight="true">
      <c r="Q97" t="s">
        <v>526</v>
      </c>
      <c r="R97" t="s">
        <v>527</v>
      </c>
      <c r="S97" t="s">
        <v>528</v>
      </c>
    </row>
    <row r="98" ht="12.75" customHeight="true">
      <c r="Q98" t="s">
        <v>529</v>
      </c>
      <c r="R98" t="s">
        <v>530</v>
      </c>
      <c r="S98" t="s">
        <v>531</v>
      </c>
    </row>
    <row r="99" ht="12.75" customHeight="true">
      <c r="Q99" t="s">
        <v>532</v>
      </c>
      <c r="R99" t="s">
        <v>533</v>
      </c>
      <c r="S99" t="s">
        <v>534</v>
      </c>
    </row>
    <row r="100" ht="12.75" customHeight="true">
      <c r="Q100" t="s">
        <v>535</v>
      </c>
      <c r="R100" t="s">
        <v>536</v>
      </c>
      <c r="S100" t="s">
        <v>537</v>
      </c>
    </row>
    <row r="101" ht="12.75" customHeight="true">
      <c r="Q101" t="s">
        <v>538</v>
      </c>
      <c r="R101" t="s">
        <v>539</v>
      </c>
      <c r="S101" t="s">
        <v>540</v>
      </c>
    </row>
    <row r="102" ht="12.75" customHeight="true">
      <c r="Q102" t="s">
        <v>541</v>
      </c>
      <c r="R102" t="s">
        <v>542</v>
      </c>
      <c r="S102" t="s">
        <v>543</v>
      </c>
    </row>
    <row r="103" ht="12.75" customHeight="true"/>
    <row r="104" ht="12.75" customHeight="true"/>
    <row r="105" ht="12.75" customHeight="true"/>
    <row r="106" ht="12.75" customHeight="true"/>
    <row r="107" ht="12.75" customHeight="true"/>
    <row r="108" ht="12.75" customHeight="true"/>
    <row r="109" ht="12.75" customHeight="true"/>
    <row r="110" ht="12.75" customHeight="true"/>
    <row r="111" ht="12.75" customHeight="true"/>
    <row r="112" ht="12.75" customHeight="true"/>
    <row r="113" ht="12.75" customHeight="true"/>
    <row r="114" ht="12.75" customHeight="true"/>
    <row r="115" ht="12.75" customHeight="true"/>
    <row r="116" ht="12.75" customHeight="true"/>
    <row r="117" ht="12.75" customHeight="true"/>
    <row r="118" ht="12.75" customHeight="true"/>
    <row r="119" ht="12.75" customHeight="true"/>
    <row r="120" ht="12.75" customHeight="true"/>
    <row r="121" ht="12.75" customHeight="true"/>
    <row r="122" ht="12.75" customHeight="true"/>
    <row r="123" ht="12.75" customHeight="true"/>
    <row r="124" ht="12.75" customHeight="true"/>
    <row r="125" ht="12.75" customHeight="true"/>
    <row r="126" ht="12.75" customHeight="true"/>
    <row r="127" ht="12.75" customHeight="true"/>
    <row r="128" ht="12.75" customHeight="true"/>
    <row r="129" ht="12.75" customHeight="true"/>
    <row r="130" ht="12.75" customHeight="true"/>
    <row r="131" ht="12.75" customHeight="true"/>
    <row r="132" ht="12.75" customHeight="true"/>
    <row r="133" ht="12.75" customHeight="true"/>
    <row r="134" ht="12.75" customHeight="true"/>
    <row r="135" ht="12.75" customHeight="true"/>
    <row r="136" ht="12.75" customHeight="true"/>
    <row r="137" ht="12.75" customHeight="true"/>
    <row r="138" ht="12.75" customHeight="true"/>
    <row r="139" ht="12.75" customHeight="true"/>
    <row r="140" ht="12.75" customHeight="true"/>
    <row r="141" ht="12.75" customHeight="true"/>
    <row r="142" ht="12.75" customHeight="true"/>
    <row r="143" ht="12.75" customHeight="true"/>
    <row r="144" ht="12.75" customHeight="true"/>
    <row r="145" ht="12.75" customHeight="true"/>
    <row r="146" ht="12.75" customHeight="true"/>
    <row r="147" ht="12.75" customHeight="true"/>
    <row r="148" ht="12.75" customHeight="true"/>
    <row r="149" ht="12.75" customHeight="true"/>
    <row r="150" ht="12.75" customHeight="true"/>
    <row r="151" ht="12.75" customHeight="true"/>
    <row r="152" ht="12.75" customHeight="true"/>
    <row r="153" ht="12.75" customHeight="true"/>
    <row r="154" ht="12.75" customHeight="true"/>
    <row r="155" ht="12.75" customHeight="true"/>
    <row r="156" ht="12.75" customHeight="true"/>
    <row r="157" ht="12.75" customHeight="true"/>
    <row r="158" ht="12.75" customHeight="true"/>
    <row r="159" ht="12.75" customHeight="true"/>
    <row r="160" ht="12.75" customHeight="true"/>
    <row r="161" ht="12.75" customHeight="true"/>
    <row r="162" ht="12.75" customHeight="true"/>
    <row r="163" ht="12.75" customHeight="true"/>
    <row r="164" ht="12.75" customHeight="true"/>
    <row r="165" ht="12.75" customHeight="true"/>
    <row r="166" ht="12.75" customHeight="true"/>
    <row r="167" ht="12.75" customHeight="true"/>
    <row r="168" ht="12.75" customHeight="true"/>
    <row r="169" ht="12.75" customHeight="true"/>
    <row r="170" ht="12.75" customHeight="true"/>
    <row r="171" ht="12.75" customHeight="true"/>
    <row r="172" ht="12.75" customHeight="true"/>
    <row r="173" ht="12.75" customHeight="true"/>
    <row r="174" ht="12.75" customHeight="true"/>
    <row r="175" ht="12.75" customHeight="true"/>
    <row r="176" ht="12.75" customHeight="true"/>
    <row r="177" ht="12.75" customHeight="true"/>
    <row r="178" ht="12.75" customHeight="true"/>
    <row r="179" ht="12.75" customHeight="true"/>
    <row r="180" ht="12.75" customHeight="true"/>
    <row r="181" ht="12.75" customHeight="true"/>
    <row r="182" ht="12.75" customHeight="true"/>
    <row r="183" ht="12.75" customHeight="true"/>
    <row r="184" ht="12.75" customHeight="true"/>
    <row r="185" ht="12.75" customHeight="true"/>
    <row r="186" ht="12.75" customHeight="true"/>
    <row r="187" ht="12.75" customHeight="true"/>
    <row r="188" ht="12.75" customHeight="true"/>
    <row r="189" ht="12.75" customHeight="true"/>
    <row r="190" ht="12.75" customHeight="true"/>
    <row r="191" ht="12.75" customHeight="true"/>
    <row r="192" ht="12.75" customHeight="true"/>
    <row r="193" ht="12.75" customHeight="true"/>
    <row r="194" ht="12.75" customHeight="true"/>
    <row r="195" ht="12.75" customHeight="true"/>
    <row r="196" ht="12.75" customHeight="true"/>
    <row r="197" ht="12.75" customHeight="true"/>
    <row r="198" ht="12.75" customHeight="true"/>
    <row r="199" ht="12.75" customHeight="true"/>
    <row r="200" ht="12.75" customHeight="true"/>
    <row r="201" ht="12.75" customHeight="true"/>
    <row r="202" ht="12.75" customHeight="true"/>
    <row r="203" ht="12.75" customHeight="true"/>
    <row r="204" ht="12.75" customHeight="true"/>
    <row r="205" ht="12.75" customHeight="true"/>
    <row r="206" ht="12.75" customHeight="true"/>
    <row r="207" ht="12.75" customHeight="true"/>
    <row r="208" ht="12.75" customHeight="true"/>
  </sheetData>
  <mergeCells count="13">
    <mergeCell ref="A1:C1"/>
    <mergeCell ref="E1:G1"/>
    <mergeCell ref="I1:K1"/>
    <mergeCell ref="M1:O1"/>
    <mergeCell ref="Q1:S1"/>
    <mergeCell ref="U1:W1"/>
    <mergeCell ref="AW1:AY1"/>
    <mergeCell ref="Y1:AA1"/>
    <mergeCell ref="AC1:AE1"/>
    <mergeCell ref="AG1:AI1"/>
    <mergeCell ref="AK1:AM1"/>
    <mergeCell ref="AO1:AQ1"/>
    <mergeCell ref="AS1:A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2026-09-04T08:52:21Z</dcterms:created>
  <dc:creator>Apache POI</dc:creator>
</cp:coreProperties>
</file>