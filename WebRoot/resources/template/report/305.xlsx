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8_{07C4DAEC-4280-4CAD-BB41-62A92034EDC3}" xr6:coauthVersionLast="47" xr6:coauthVersionMax="47" xr10:uidLastSave="{00000000-0000-0000-0000-000000000000}"/>
  <bookViews>
    <workbookView xWindow="3075" yWindow="3075" windowWidth="38700" windowHeight="15225" xr2:uid="{70DF9BFC-8F2F-403F-BBCA-D815FBCE69BD}"/>
  </bookViews>
  <sheets>
    <sheet name="Sheet1" sheetId="1" r:id="rId1"/>
  </sheets>
  <externalReferences>
    <externalReference r:id="rId2"/>
  </externalReferences>
  <definedNames>
    <definedName name="letet">'[1]lịch năm+lịch lễ tết'!$D$2:$D$26</definedName>
    <definedName name="nghi">'[1]lịch năm+lịch lễ tết'!$E$2:$E$450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4" i="1" l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</calcChain>
</file>

<file path=xl/sharedStrings.xml><?xml version="1.0" encoding="utf-8"?>
<sst xmlns="http://schemas.openxmlformats.org/spreadsheetml/2006/main" count="492" uniqueCount="470">
  <si>
    <t xml:space="preserve">BẢNG CHẤM CÔNG TỔNG HỢP </t>
  </si>
  <si>
    <t>HÀNH CHÍNH</t>
  </si>
  <si>
    <t>TĂNG CA NGÀY</t>
  </si>
  <si>
    <t>TĂNG CA ĐÊM</t>
  </si>
  <si>
    <t>STT/
No</t>
  </si>
  <si>
    <t>Mã số/ Code</t>
  </si>
  <si>
    <t>Bộ phận/
Dep't</t>
  </si>
  <si>
    <t xml:space="preserve">Ngày bắt đầu làm việc/ Start working </t>
  </si>
  <si>
    <t>Sign</t>
  </si>
  <si>
    <t>1</t>
  </si>
  <si>
    <t>2</t>
  </si>
  <si>
    <t>3</t>
  </si>
  <si>
    <t>5</t>
  </si>
  <si>
    <t>6</t>
  </si>
  <si>
    <t>7</t>
  </si>
  <si>
    <t>8</t>
  </si>
  <si>
    <t>13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</si>
  <si>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</si>
  <si>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</si>
  <si>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</si>
  <si>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</si>
  <si>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</si>
  <si>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</si>
  <si>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</si>
  <si>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</si>
  <si>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</si>
  <si>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</si>
  <si>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</si>
  <si>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</si>
  <si>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</si>
  <si>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</si>
  <si>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</si>
  <si>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</si>
  <si>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</si>
  <si>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</si>
  <si>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</si>
  <si>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</si>
  <si>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</si>
  <si>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</si>
  <si>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</si>
  <si>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</si>
  <si>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</si>
  <si>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</si>
  <si>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</si>
  <si>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</si>
  <si>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</si>
  <si>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</si>
  <si>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</si>
  <si>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</si>
  <si>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</si>
  <si>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</si>
  <si>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</si>
  <si>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</si>
  <si>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</si>
  <si>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</si>
  <si>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</si>
  <si>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</si>
  <si>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</si>
  <si>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</si>
  <si>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</si>
  <si>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</si>
  <si>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</si>
  <si>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</si>
  <si>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</si>
  <si>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</si>
  <si>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</si>
  <si>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</si>
  <si>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</si>
  <si>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</si>
  <si>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</si>
  <si>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</si>
  <si>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</si>
  <si>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</si>
  <si>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</si>
  <si>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</si>
  <si>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</si>
  <si>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</si>
  <si>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</si>
  <si>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</si>
  <si>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</si>
  <si>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</si>
  <si>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</si>
  <si>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</si>
  <si>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</si>
  <si>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</si>
  <si>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</si>
  <si>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</si>
  <si>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</si>
  <si>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</si>
  <si>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</si>
  <si>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</si>
  <si>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</si>
  <si>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</si>
  <si>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</si>
  <si>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</si>
  <si>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</si>
  <si>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</si>
  <si>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</si>
  <si>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</si>
  <si>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</si>
  <si>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</si>
  <si>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</si>
  <si>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</si>
  <si>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</si>
  <si>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</si>
  <si>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</si>
  <si>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</si>
  <si>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</si>
  <si>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</si>
  <si>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</si>
  <si>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</si>
  <si>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</si>
  <si>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</si>
  <si>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</si>
  <si>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</si>
  <si>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</si>
  <si>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</si>
  <si>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</si>
  <si>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</si>
  <si>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</si>
  <si>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</si>
  <si>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</si>
  <si>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</si>
  <si>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</si>
  <si>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</si>
  <si>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</si>
  <si>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</si>
  <si>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</si>
  <si>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Chú thích</t>
  </si>
  <si>
    <t>H: Nghỉ hiếu, hỉ</t>
  </si>
  <si>
    <t>&lt;jx:forEach items="${viewMonthDetailList}" var="reports" varStatus="i"&gt;</t>
    <phoneticPr fontId="9" type="noConversion"/>
  </si>
  <si>
    <t>&lt;/jx:forEach&gt;</t>
    <phoneticPr fontId="9" type="noConversion"/>
  </si>
  <si>
    <t>${reports.EMPID}</t>
    <phoneticPr fontId="9" type="noConversion"/>
  </si>
  <si>
    <t>${reports.LOCAL_NAME}</t>
    <phoneticPr fontId="9" type="noConversion"/>
  </si>
  <si>
    <t>${reports.DOB}</t>
    <phoneticPr fontId="9" type="noConversion"/>
  </si>
  <si>
    <t>${reports.POST_GRADE_NAME}</t>
    <phoneticPr fontId="9" type="noConversion"/>
  </si>
  <si>
    <t>${reports.DATE_STARTED}</t>
    <phoneticPr fontId="9" type="noConversion"/>
  </si>
  <si>
    <t>Họ và tên/
Full name</t>
    <phoneticPr fontId="9" type="noConversion"/>
  </si>
  <si>
    <t>Ngày sinh/ Date of birth</t>
    <phoneticPr fontId="9" type="noConversion"/>
  </si>
  <si>
    <t xml:space="preserve">Vị trí/ 
Position
</t>
    <phoneticPr fontId="9" type="noConversion"/>
  </si>
  <si>
    <t>CA NGÀY</t>
    <phoneticPr fontId="9" type="noConversion"/>
  </si>
  <si>
    <t>Đi muộn</t>
    <phoneticPr fontId="9" type="noConversion"/>
  </si>
  <si>
    <t>Tổng thời gian</t>
    <phoneticPr fontId="9" type="noConversion"/>
  </si>
  <si>
    <t>Số ngày</t>
    <phoneticPr fontId="9" type="noConversion"/>
  </si>
  <si>
    <t>Về sớm</t>
    <phoneticPr fontId="9" type="noConversion"/>
  </si>
  <si>
    <t>Nghỉ phép năm</t>
    <phoneticPr fontId="9" type="noConversion"/>
  </si>
  <si>
    <t>Nghỉ có phép</t>
    <phoneticPr fontId="9" type="noConversion"/>
  </si>
  <si>
    <t>Nghỉ không phép</t>
    <phoneticPr fontId="9" type="noConversion"/>
  </si>
  <si>
    <t>Nghỉ thai sản</t>
    <phoneticPr fontId="9" type="noConversion"/>
  </si>
  <si>
    <t>Nghỉ hiếu, hỉ</t>
    <phoneticPr fontId="9" type="noConversion"/>
  </si>
  <si>
    <t>${month}</t>
    <phoneticPr fontId="9" type="noConversion"/>
  </si>
  <si>
    <t>${year}</t>
    <phoneticPr fontId="9" type="noConversion"/>
  </si>
  <si>
    <t>${i.index + 1}</t>
    <phoneticPr fontId="9" type="noConversion"/>
  </si>
  <si>
    <t>${reports.DATE_1}</t>
    <phoneticPr fontId="9" type="noConversion"/>
  </si>
  <si>
    <t>${reports.DATE_2}</t>
    <phoneticPr fontId="9" type="noConversion"/>
  </si>
  <si>
    <t>${reports.DATE_3}</t>
    <phoneticPr fontId="9" type="noConversion"/>
  </si>
  <si>
    <t>${reports.DATE_25}</t>
    <phoneticPr fontId="9" type="noConversion"/>
  </si>
  <si>
    <t>${reports.DATE_26}</t>
    <phoneticPr fontId="9" type="noConversion"/>
  </si>
  <si>
    <t>${reports.DATE_27}</t>
    <phoneticPr fontId="9" type="noConversion"/>
  </si>
  <si>
    <t>${reports.DATE_28}</t>
    <phoneticPr fontId="9" type="noConversion"/>
  </si>
  <si>
    <t>${reports.DATE_29}</t>
    <phoneticPr fontId="9" type="noConversion"/>
  </si>
  <si>
    <t>${reports.DATE_30}</t>
    <phoneticPr fontId="9" type="noConversion"/>
  </si>
  <si>
    <t>${reports.DATE_31}</t>
    <phoneticPr fontId="9" type="noConversion"/>
  </si>
  <si>
    <t>${reports.DATE_4}</t>
    <phoneticPr fontId="9" type="noConversion"/>
  </si>
  <si>
    <t>${reports.DATE_5}</t>
    <phoneticPr fontId="9" type="noConversion"/>
  </si>
  <si>
    <t>${reports.DATE_13}</t>
    <phoneticPr fontId="9" type="noConversion"/>
  </si>
  <si>
    <t>${reports.DATE_6}</t>
    <phoneticPr fontId="9" type="noConversion"/>
  </si>
  <si>
    <t>${reports.DATE_14}</t>
    <phoneticPr fontId="9" type="noConversion"/>
  </si>
  <si>
    <t>${reports.DATE_7}</t>
    <phoneticPr fontId="9" type="noConversion"/>
  </si>
  <si>
    <t>${reports.DATE_8}</t>
    <phoneticPr fontId="9" type="noConversion"/>
  </si>
  <si>
    <t>${reports.DATE_9}</t>
    <phoneticPr fontId="9" type="noConversion"/>
  </si>
  <si>
    <t>${reports.DATE_10}</t>
    <phoneticPr fontId="9" type="noConversion"/>
  </si>
  <si>
    <t>${reports.DATE_11}</t>
    <phoneticPr fontId="9" type="noConversion"/>
  </si>
  <si>
    <t>${reports.DATE_12}</t>
    <phoneticPr fontId="9" type="noConversion"/>
  </si>
  <si>
    <t>${reports.DATE_22}</t>
    <phoneticPr fontId="9" type="noConversion"/>
  </si>
  <si>
    <t>${reports.DATE_15}</t>
    <phoneticPr fontId="9" type="noConversion"/>
  </si>
  <si>
    <t>${reports.DATE_16}</t>
    <phoneticPr fontId="9" type="noConversion"/>
  </si>
  <si>
    <t>${reports.DATE_17}</t>
    <phoneticPr fontId="9" type="noConversion"/>
  </si>
  <si>
    <t>${reports.DATE_18}</t>
    <phoneticPr fontId="9" type="noConversion"/>
  </si>
  <si>
    <t>${reports.DATE_19}</t>
    <phoneticPr fontId="9" type="noConversion"/>
  </si>
  <si>
    <t>${reports.DATE_20}</t>
    <phoneticPr fontId="9" type="noConversion"/>
  </si>
  <si>
    <t>${reports.DATE_21}</t>
    <phoneticPr fontId="9" type="noConversion"/>
  </si>
  <si>
    <t>${reports.DATE_23}</t>
    <phoneticPr fontId="9" type="noConversion"/>
  </si>
  <si>
    <t>${reports.DATE_24}</t>
    <phoneticPr fontId="9" type="noConversion"/>
  </si>
  <si>
    <t>${reports.DAY_OT_1}</t>
    <phoneticPr fontId="9" type="noConversion"/>
  </si>
  <si>
    <t>${reports.DAY_OT_25}</t>
    <phoneticPr fontId="9" type="noConversion"/>
  </si>
  <si>
    <t>${reports.DAY_OT_26}</t>
    <phoneticPr fontId="9" type="noConversion"/>
  </si>
  <si>
    <t>${reports.DAY_OT_27}</t>
    <phoneticPr fontId="9" type="noConversion"/>
  </si>
  <si>
    <t>${reports.DAY_OT_28}</t>
    <phoneticPr fontId="9" type="noConversion"/>
  </si>
  <si>
    <t>${reports.DAY_OT_2}</t>
    <phoneticPr fontId="9" type="noConversion"/>
  </si>
  <si>
    <t>${reports.DAY_OT_29}</t>
    <phoneticPr fontId="9" type="noConversion"/>
  </si>
  <si>
    <t>${reports.DAY_OT_30}</t>
    <phoneticPr fontId="9" type="noConversion"/>
  </si>
  <si>
    <t>${reports.DAY_OT_31}</t>
    <phoneticPr fontId="9" type="noConversion"/>
  </si>
  <si>
    <t>${reports.DAY_OT_3}</t>
    <phoneticPr fontId="9" type="noConversion"/>
  </si>
  <si>
    <t>${reports.DAY_OT_4}</t>
    <phoneticPr fontId="9" type="noConversion"/>
  </si>
  <si>
    <t>${reports.DAY_OT_5}</t>
    <phoneticPr fontId="9" type="noConversion"/>
  </si>
  <si>
    <t>${reports.DAY_OT_6}</t>
    <phoneticPr fontId="9" type="noConversion"/>
  </si>
  <si>
    <t>${reports.DAY_OT_7}</t>
    <phoneticPr fontId="9" type="noConversion"/>
  </si>
  <si>
    <t>${reports.DAY_OT_8}</t>
    <phoneticPr fontId="9" type="noConversion"/>
  </si>
  <si>
    <t>${reports.DAY_OT_9}</t>
    <phoneticPr fontId="9" type="noConversion"/>
  </si>
  <si>
    <t>${reports.DAY_OT_10}</t>
    <phoneticPr fontId="9" type="noConversion"/>
  </si>
  <si>
    <t>${reports.DAY_OT_11}</t>
    <phoneticPr fontId="9" type="noConversion"/>
  </si>
  <si>
    <t>${reports.DAY_OT_12}</t>
    <phoneticPr fontId="9" type="noConversion"/>
  </si>
  <si>
    <t>${reports.DAY_OT_13}</t>
    <phoneticPr fontId="9" type="noConversion"/>
  </si>
  <si>
    <t>${reports.DAY_OT_14}</t>
    <phoneticPr fontId="9" type="noConversion"/>
  </si>
  <si>
    <t>${reports.DAY_OT_15}</t>
    <phoneticPr fontId="9" type="noConversion"/>
  </si>
  <si>
    <t>${reports.DAY_OT_16}</t>
    <phoneticPr fontId="9" type="noConversion"/>
  </si>
  <si>
    <t>${reports.DAY_OT_17}</t>
    <phoneticPr fontId="9" type="noConversion"/>
  </si>
  <si>
    <t>${reports.DAY_OT_18}</t>
    <phoneticPr fontId="9" type="noConversion"/>
  </si>
  <si>
    <t>${reports.DAY_OT_19}</t>
    <phoneticPr fontId="9" type="noConversion"/>
  </si>
  <si>
    <t>${reports.DAY_OT_20}</t>
    <phoneticPr fontId="9" type="noConversion"/>
  </si>
  <si>
    <t>${reports.DAY_OT_21}</t>
    <phoneticPr fontId="9" type="noConversion"/>
  </si>
  <si>
    <t>${reports.DAY_OT_22}</t>
    <phoneticPr fontId="9" type="noConversion"/>
  </si>
  <si>
    <t>${reports.DAY_OT_23}</t>
    <phoneticPr fontId="9" type="noConversion"/>
  </si>
  <si>
    <t>${reports.DAY_OT_24}</t>
    <phoneticPr fontId="9" type="noConversion"/>
  </si>
  <si>
    <t>${reports.NIGHT_OT_25}</t>
    <phoneticPr fontId="9" type="noConversion"/>
  </si>
  <si>
    <t>${reports.NIGHT_OT_26}</t>
    <phoneticPr fontId="9" type="noConversion"/>
  </si>
  <si>
    <t>${reports.NIGHT_OT_27}</t>
    <phoneticPr fontId="9" type="noConversion"/>
  </si>
  <si>
    <t>${reports.NIGHT_OT_28}</t>
    <phoneticPr fontId="9" type="noConversion"/>
  </si>
  <si>
    <t>${reports.NIGHT_OT_29}</t>
    <phoneticPr fontId="9" type="noConversion"/>
  </si>
  <si>
    <t>${reports.NIGHT_OT_30}</t>
    <phoneticPr fontId="9" type="noConversion"/>
  </si>
  <si>
    <t>${reports.NIGHT_OT_31}</t>
    <phoneticPr fontId="9" type="noConversion"/>
  </si>
  <si>
    <t>${reports.NIGHT_OT_1}</t>
    <phoneticPr fontId="9" type="noConversion"/>
  </si>
  <si>
    <t>${reports.NIGHT_OT_2}</t>
    <phoneticPr fontId="9" type="noConversion"/>
  </si>
  <si>
    <t>${reports.NIGHT_OT_3}</t>
    <phoneticPr fontId="9" type="noConversion"/>
  </si>
  <si>
    <t>${reports.NIGHT_OT_4}</t>
    <phoneticPr fontId="9" type="noConversion"/>
  </si>
  <si>
    <t>${reports.NIGHT_OT_5}</t>
    <phoneticPr fontId="9" type="noConversion"/>
  </si>
  <si>
    <t>${reports.NIGHT_OT_6}</t>
    <phoneticPr fontId="9" type="noConversion"/>
  </si>
  <si>
    <t>${reports.NIGHT_OT_7}</t>
    <phoneticPr fontId="9" type="noConversion"/>
  </si>
  <si>
    <t>${reports.NIGHT_OT_8}</t>
    <phoneticPr fontId="9" type="noConversion"/>
  </si>
  <si>
    <t>${reports.NIGHT_OT_9}</t>
    <phoneticPr fontId="9" type="noConversion"/>
  </si>
  <si>
    <t>${reports.NIGHT_OT_10}</t>
    <phoneticPr fontId="9" type="noConversion"/>
  </si>
  <si>
    <t>${reports.NIGHT_OT_11}</t>
    <phoneticPr fontId="9" type="noConversion"/>
  </si>
  <si>
    <t>${reports.NIGHT_OT_12}</t>
    <phoneticPr fontId="9" type="noConversion"/>
  </si>
  <si>
    <t>${reports.NIGHT_OT_13}</t>
    <phoneticPr fontId="9" type="noConversion"/>
  </si>
  <si>
    <t>${reports.NIGHT_OT_14}</t>
    <phoneticPr fontId="9" type="noConversion"/>
  </si>
  <si>
    <t>${reports.NIGHT_OT_15}</t>
    <phoneticPr fontId="9" type="noConversion"/>
  </si>
  <si>
    <t>${reports.NIGHT_OT_16}</t>
    <phoneticPr fontId="9" type="noConversion"/>
  </si>
  <si>
    <t>${reports.NIGHT_OT_17}</t>
    <phoneticPr fontId="9" type="noConversion"/>
  </si>
  <si>
    <t>${reports.NIGHT_OT_18}</t>
    <phoneticPr fontId="9" type="noConversion"/>
  </si>
  <si>
    <t>${reports.NIGHT_OT_19}</t>
    <phoneticPr fontId="9" type="noConversion"/>
  </si>
  <si>
    <t>${reports.NIGHT_OT_20}</t>
    <phoneticPr fontId="9" type="noConversion"/>
  </si>
  <si>
    <t>${reports.NIGHT_OT_21}</t>
    <phoneticPr fontId="9" type="noConversion"/>
  </si>
  <si>
    <t>${reports.NIGHT_OT_22}</t>
    <phoneticPr fontId="9" type="noConversion"/>
  </si>
  <si>
    <t>${reports.NIGHT_OT_23}</t>
    <phoneticPr fontId="9" type="noConversion"/>
  </si>
  <si>
    <t>${reports.NIGHT_OT_24}</t>
    <phoneticPr fontId="9" type="noConversion"/>
  </si>
  <si>
    <t>Div.</t>
  </si>
  <si>
    <t>9</t>
  </si>
  <si>
    <t>${reports.DEPT_NAME}</t>
  </si>
  <si>
    <t>${reports.PARENT_DEPT_NAME}</t>
  </si>
  <si>
    <t>Ts: Nghỉ thai sản</t>
  </si>
  <si>
    <t>HÀNH CHÍNH 
(THỬ VIỆC)</t>
  </si>
  <si>
    <t>NGHỈ HƯỞNG LƯƠNG (x2)
(THỬ VIỆC)</t>
  </si>
  <si>
    <t>LỄ TẾT (x3)
(THỬ VIỆC)</t>
  </si>
  <si>
    <t>Số ngày làm việc (Thử việc)</t>
  </si>
  <si>
    <t>Đi muộn (Thử việc)</t>
  </si>
  <si>
    <t>Về sớm (Thử việc)</t>
  </si>
  <si>
    <t>Nghỉ có phép (Thử việc)</t>
  </si>
  <si>
    <t>Nghỉ không phép (Thử việc)</t>
  </si>
  <si>
    <t>Nghỉ hiếu, hỉ (Thử việc)</t>
  </si>
  <si>
    <t>TC ĐÊM 210%</t>
  </si>
  <si>
    <t>${reports.REG_DAY_OT_WEEKDAY}</t>
  </si>
  <si>
    <t>${reports.REG_NIGHT_OT_WEEKDAY}</t>
  </si>
  <si>
    <t>${reports.REG_NIGHT_OT_WEEKDAY_210}</t>
  </si>
  <si>
    <t>${reports.REG_DAY_OT_SATURDAY}</t>
  </si>
  <si>
    <t>${reports.REG_NIGHT_OT_SATURDAY}</t>
  </si>
  <si>
    <t>${reports.PROB_DAY_OT_WEEKDAY}</t>
  </si>
  <si>
    <t>${reports.PROB_NIGHT_OT_WEEKDAY}</t>
  </si>
  <si>
    <t>${reports.PROB_NIGHT_OT_WEEKDAY_210}</t>
  </si>
  <si>
    <t>${reports.PROB_DAY_OT_SATURDAY}</t>
  </si>
  <si>
    <t>${reports.PROB_NIGHT_OT_SATURDAY}</t>
  </si>
  <si>
    <t>${reports.PROB_DAY_OT_WEEKEND}</t>
  </si>
  <si>
    <t>${reports.PROB_NIGHT_OT_WEEKEND}</t>
  </si>
  <si>
    <t>${reports.PROB_DAY_OT_HOLIDAY}</t>
  </si>
  <si>
    <t>${reports.PROB_NIGHT_OT_HOLIDAY}</t>
  </si>
  <si>
    <t>${reports.REG_DAY_OT_WEEKEND}</t>
  </si>
  <si>
    <t>${reports.REG_NIGHT_OT_WEEKEND}</t>
  </si>
  <si>
    <t>${reports.REG_DAY_OT_HOLIDAY}</t>
  </si>
  <si>
    <t>${reports.REG_NIGHT_OT_HOLIDAY}</t>
  </si>
  <si>
    <t>${reports.REG_NIGHT_WORK_DAYS}</t>
  </si>
  <si>
    <t>${reports.PROB_NIGHT_WORK_DAYS}</t>
  </si>
  <si>
    <t>Ngày LV thực tế                        (Đã quy đổi ) Thử việc</t>
  </si>
  <si>
    <t>Ngày LV trong tháng (Thử việc)</t>
  </si>
  <si>
    <t>${reports.PROB_LATE_ARRIVE_HOURS}</t>
  </si>
  <si>
    <t>${reports.PROB_LATE_ARRIVE_COUNT}</t>
  </si>
  <si>
    <t>${reports.PROB_EARLY_LEAVE_HOURS}</t>
  </si>
  <si>
    <t>${reports.PROB_EARLY_LEAVE_COUNT}</t>
  </si>
  <si>
    <t>${reports.PROB_HUNSANGJIA_DAYS}</t>
  </si>
  <si>
    <t>${reports.REG_LATE_ARRIVE_HOURS}</t>
  </si>
  <si>
    <t>${reports.REG_LATE_ARRIVE_COUNT}</t>
  </si>
  <si>
    <t>${reports.REG_EARLY_LEAVE_HOURS}</t>
  </si>
  <si>
    <t>${reports.REG_EARLY_LEAVE_COUNT}</t>
  </si>
  <si>
    <t>${reports.ANNUAL_LEAVE_DAYS}</t>
  </si>
  <si>
    <t>${reports.REG_HUNSANGJIA_DAYS}</t>
  </si>
  <si>
    <t>10</t>
  </si>
  <si>
    <t>11</t>
  </si>
  <si>
    <t>12</t>
  </si>
  <si>
    <t>14</t>
  </si>
  <si>
    <t>18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</si>
  <si>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</si>
  <si>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</si>
  <si>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</si>
  <si>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</si>
  <si>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</si>
  <si>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</si>
  <si>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</si>
  <si>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</si>
  <si>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</si>
  <si>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</si>
  <si>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</si>
  <si>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</si>
  <si>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</si>
  <si>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</si>
  <si>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</si>
  <si>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</si>
  <si>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</si>
  <si>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</si>
  <si>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${reports.REG_UNPAID_UNRAESON_DAYS}</t>
  </si>
  <si>
    <t>${reports.PROB_UNPAID_UNRAESON_DAYS}</t>
  </si>
  <si>
    <t>${reports.REG_UNPAID_RAESON_DAYS}</t>
  </si>
  <si>
    <t>${reports.PROB_UNPAID_RAESON_DAYS}</t>
  </si>
  <si>
    <r>
      <t xml:space="preserve">CA ĐÊM </t>
    </r>
    <r>
      <rPr>
        <b/>
        <sz val="12"/>
        <color indexed="10"/>
        <rFont val="Times New Roman"/>
        <family val="1"/>
      </rPr>
      <t>(GIỜ)</t>
    </r>
  </si>
  <si>
    <t>K(*): Nghỉ không lý do (Thời gian nghỉ)</t>
  </si>
  <si>
    <t>CT: Công tác</t>
  </si>
  <si>
    <t>C(*): Nghỉ có giấy phép, nghỉ không lương, ra ngoài ( Thời gian nghỉ)</t>
  </si>
  <si>
    <t>M(*): Đi muộn (Thời gian làm việc)</t>
  </si>
  <si>
    <t>S(*): Về sớm (Thời gian làm việc)</t>
  </si>
  <si>
    <t>P(*): Nghỉ phép năm( Thời gian nghỉ)</t>
  </si>
  <si>
    <t>OD(*): Nghỉ ốm đau ( Thời gian nghỉ)</t>
  </si>
  <si>
    <t>${reports.REG_WORK_DAYS + reports.REG_REST_PAY_DAYS - reports.REG_LEAVE_NOT_PAY_DAYS  - reports.REG_LEAVE_PAY_DAYS}</t>
  </si>
  <si>
    <t>${reports.PROB_WORK_DAYS + reports.PROB_REST_PAY_DAYS - reports.PROB_LEAVE_NOT_PAY_DAYS - reports.PROB_LEAVE_PAY_DAYS}</t>
  </si>
  <si>
    <t>HÀNH CHÍNH 
(CHÍNH THỨC)</t>
  </si>
  <si>
    <t>NGHỈ HƯỞNG LƯƠNG (x2)
(CHÍNH THỨC)</t>
  </si>
  <si>
    <t>NGÀY NGHỈ (x2) 
(CHÍNH THỨC)</t>
  </si>
  <si>
    <t>NGÀY NGHỈ (x2)
(THỬ VIỆC)</t>
  </si>
  <si>
    <t>LỄ TẾT (x3)
(CHÍNH THỨC)</t>
  </si>
  <si>
    <t>Số ngày làm việc
(CHÍNH THỨC)</t>
  </si>
  <si>
    <t>Ngày LV thực tế                        (Đã quy đổi ) Chính thức</t>
  </si>
  <si>
    <t>Ngày LV trong tháng (Chính thức)</t>
  </si>
  <si>
    <t>${reports.DATE_LEFT}</t>
  </si>
  <si>
    <t>Ngày nghỉ việc/
Date left</t>
  </si>
  <si>
    <t>Ngày công chuẩn (Chính thức)</t>
  </si>
  <si>
    <t>Ngày công chuẩn (Thử việc)</t>
  </si>
  <si>
    <t>${reports.PROB_WORK_DAYS + reports.PROB_REST_PAY_DAYS}</t>
  </si>
  <si>
    <t>${reports.REG_WORK_DAYS + reports.REG_REST_PAY_DAYS}</t>
  </si>
  <si>
    <r>
      <t xml:space="preserve">CA ĐÊM </t>
    </r>
    <r>
      <rPr>
        <b/>
        <sz val="12"/>
        <color indexed="10"/>
        <rFont val="Times New Roman"/>
        <family val="1"/>
      </rPr>
      <t>(NGÀY)</t>
    </r>
  </si>
  <si>
    <t>${reports.REG_NIGHT_WORK_HOURS}</t>
  </si>
  <si>
    <t>${reports.PROB_NIGHT_WORK_HOURS}</t>
  </si>
  <si>
    <t>145</t>
  </si>
  <si>
    <t>146</t>
  </si>
  <si>
    <t>147</t>
  </si>
  <si>
    <t>148</t>
  </si>
  <si>
    <t>Nghỉ ốm</t>
  </si>
  <si>
    <t>Nghỉ ốm (Thử việc)</t>
  </si>
  <si>
    <t>${reports.REG_SICK_LEAVE_DAYS}</t>
  </si>
  <si>
    <t>${reports.PROB_SICK_LEAVE_DAYS}</t>
  </si>
  <si>
    <t>149</t>
  </si>
  <si>
    <t>150</t>
  </si>
  <si>
    <t>Tổng đi muộn về sớm</t>
  </si>
  <si>
    <t>Tổng đi muộn về sớm (Thử việc)</t>
  </si>
  <si>
    <t>${reports.REG_LATE_ARRIVE_HOURS + reports.REG_EARLY_LEAVE_HOURS}</t>
  </si>
  <si>
    <t>${reports.PROB_LATE_ARRIVE_HOURS + reports.PROB_EARLY_LEAVE_HOURS}</t>
  </si>
  <si>
    <t>Nghỉ không lương</t>
  </si>
  <si>
    <t>Nghỉ không lương(Thử việc)</t>
  </si>
  <si>
    <t>151</t>
  </si>
  <si>
    <t>152</t>
  </si>
  <si>
    <t>153</t>
  </si>
  <si>
    <t>TC NGÀY 150%</t>
  </si>
  <si>
    <t>TC ĐÊM 200%</t>
  </si>
  <si>
    <t>TC NGÀY 200%</t>
  </si>
  <si>
    <t>TC ĐÊM 270%</t>
  </si>
  <si>
    <t>TC NGÀY 300%</t>
  </si>
  <si>
    <t>TC ĐÊM 390%</t>
  </si>
  <si>
    <t>4</t>
  </si>
  <si>
    <t>D: Làm ca đêm</t>
  </si>
  <si>
    <t>CB: Nghỉ cho con bú</t>
  </si>
  <si>
    <t>PH: Dưỡng sức phục hồi sức khỏe</t>
  </si>
  <si>
    <t>Nghỉ dưỡng sức</t>
  </si>
  <si>
    <t>Nghỉ dưỡng sức (Thử việc)</t>
  </si>
  <si>
    <t>${reports.REG_HELTH_LEAVE_DAYS}</t>
  </si>
  <si>
    <t>${reports.PROB_HELTH_LEAVE_DAYS}</t>
  </si>
  <si>
    <t>154</t>
  </si>
  <si>
    <t>155</t>
  </si>
  <si>
    <t>QT: Quên quẹt thẻ</t>
  </si>
  <si>
    <t>TN(*): Nghỉ tai nạn lao động( Thời gian nghỉ)</t>
  </si>
  <si>
    <t>Nghỉ tai nạn lao động</t>
  </si>
  <si>
    <t>Nghỉ tai nạn lao động (Thử việc)</t>
  </si>
  <si>
    <t>${reports.PROB_ACCIDENT_DAYS}</t>
  </si>
  <si>
    <t>${reports.REG_ACCIDENT_DAYS}</t>
  </si>
  <si>
    <t>Nghỉ thai sản (Thử việc)</t>
  </si>
  <si>
    <t>156</t>
  </si>
  <si>
    <t>157</t>
  </si>
  <si>
    <t>158</t>
  </si>
  <si>
    <t>${reports.REG_MATERNITYLEAVE_DAYS}</t>
  </si>
  <si>
    <t>${reports.PROB_MATERNITYLEAVE_DAYS}</t>
  </si>
  <si>
    <t>${reports.REG_UNPAID_RAESON_DAYS + reports.REG_UNPAID_UNRAESON_DAYS +  reports.REG_MATERNITYLEAVE_DAYS + reports.REG_SICK_LEAVE_DAYS + reports.REG_HELTH_LEAVE_DAYS}</t>
  </si>
  <si>
    <t>${reports.PROB_UNPAID_RAESON_DAYS + reports.PROB_UNPAID_UNRAESON_DAYS + reports.PROB_SICK_LEAVE_DAYS + reports.PROB_HELTH_LEAVE_DAYS + reports.PROB_MATERNITYLEAVE_DAYS}</t>
  </si>
  <si>
    <t>${reports.REG_SHUTDOWN_LEAVE_DAYS}</t>
  </si>
  <si>
    <t>${reports.PROB_SHUTDOWN_LEAVE_DAYS}</t>
  </si>
  <si>
    <t>159</t>
  </si>
  <si>
    <t>160</t>
  </si>
  <si>
    <t>Phụ cấp nuôi con nhỏ</t>
  </si>
  <si>
    <t>161</t>
  </si>
  <si>
    <t>${reports.NURSING_LEAVE_HOURS}</t>
  </si>
  <si>
    <t>Nghỉ ngừng việc-70%</t>
  </si>
  <si>
    <t>Nghỉ ngừng việc (Thử việc)-70%</t>
  </si>
  <si>
    <t>Nghỉ ngừng việc-50%</t>
  </si>
  <si>
    <t>Nghỉ ngừng việc (Thử việc)-50%</t>
  </si>
  <si>
    <t>${reports.PROB_SHUTDOWN_50PER_DAYS}</t>
  </si>
  <si>
    <t>${reports.REG_SHUTDOWN_50PER_DAYS}</t>
  </si>
  <si>
    <t>${reports.REG_WORK_DAYS + reports.REG_REST_PAY_DAYS - reports.REG_LEAVE_NOT_PAY_DAYS - reports.REG_SHUTDOWN_LEAVE_DAYS  - reports.REG_SHUTDOWN_50PER_DAYS}</t>
  </si>
  <si>
    <t>${reports.PROB_WORK_DAYS + reports.PROB_REST_PAY_DAYS - reports.PROB_LEAVE_NOT_PAY_DAYS - reports.PROB_SHUTDOWN_LEAVE_DAYS - reports.PROB_SHUTDOWN_50PER_DAYS}</t>
  </si>
  <si>
    <t>162</t>
  </si>
  <si>
    <t>163</t>
  </si>
  <si>
    <t>NV7(*): Nghỉ ngừng việc 70% (Thời gian nghỉ)</t>
  </si>
  <si>
    <t>NV5(*): Nghỉ ngừng việc 50% (Thời gian nghỉ)</t>
  </si>
  <si>
    <t>Nghỉ không lương đặc biệt</t>
  </si>
  <si>
    <t>Nghỉ không lương đặc biệt (Thử việc)</t>
  </si>
  <si>
    <t>${reports.PROB_UNPAID_SPECIAL_DAYS}</t>
  </si>
  <si>
    <t>${reports.REG_UNPAID_SPECIAL_DAYS}</t>
  </si>
  <si>
    <t>164</t>
  </si>
  <si>
    <t>165</t>
  </si>
  <si>
    <t>${reports.PROB_NIGHT_SATURDAY}</t>
  </si>
  <si>
    <t>${reports.PROB_DAY_SATURDAY}</t>
  </si>
  <si>
    <t>${reports.PROB_OT_INCENTIVE}</t>
  </si>
  <si>
    <t>${reports.REG_OT_INCENTIVE}</t>
  </si>
  <si>
    <t>${reports.REG_DAY_SATURDAY}</t>
  </si>
  <si>
    <t>${reports.REG_NIGHT_SATURDAY}</t>
  </si>
  <si>
    <t>Hỗ trợ ăn ca
(CHÍNH THỨC)</t>
  </si>
  <si>
    <t>Hỗ trợ ăn ca
(THỬ VIỆC)</t>
  </si>
  <si>
    <t>Hỗ trợ làm thứ 7
(CHÍNH THỨC)</t>
  </si>
  <si>
    <t>Hỗ trợ làm thứ 7
(THỬ VIỆC)</t>
  </si>
  <si>
    <t>Hỗ trợ làm đêm
(CHÍNH THỨC)</t>
  </si>
  <si>
    <t>Hỗ trợ làm đêm
(THỬ VIỆC)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</si>
  <si>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</si>
  <si>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</si>
  <si>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</si>
  <si>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</si>
  <si>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</si>
  <si>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</si>
  <si>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</si>
  <si>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</si>
  <si>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</si>
  <si>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</si>
  <si>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</si>
  <si>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</si>
  <si>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</si>
  <si>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</si>
  <si>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</si>
  <si>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</si>
  <si>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</si>
  <si>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</si>
  <si>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</si>
  <si>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</si>
  <si>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${reports.REG_OT_INCENTIVE_200}</t>
  </si>
  <si>
    <t>${reports.REG_OT_INCENTIVE_270}</t>
  </si>
  <si>
    <t>${reports.REG_OT_INCENTIVE_300}</t>
  </si>
  <si>
    <t>${reports.REG_OT_INCENTIVE_390}</t>
  </si>
  <si>
    <t>${reports.PROB_OT_INCENTIVE_200}</t>
  </si>
  <si>
    <t>${reports.PROB_OT_INCENTIVE_270}</t>
  </si>
  <si>
    <t>${reports.PROB_OT_INCENTIVE_300}</t>
  </si>
  <si>
    <t>${reports.PROB_OT_INCENTIVE_390}</t>
  </si>
  <si>
    <t>${reports.REG_NIGHT_INCENTIVE_200}</t>
  </si>
  <si>
    <t>${reports.REG_NIGHT_INCENTIVE_270}</t>
  </si>
  <si>
    <t>${reports.REG_NIGHT_INCENTIVE_390}</t>
  </si>
  <si>
    <t>${reports.PROB_NIGHT_INCENTIVE_390}</t>
  </si>
  <si>
    <t>${reports.PROB_NIGHT_INCENTIVE_270}</t>
  </si>
  <si>
    <t>${reports.PROB_NIGHT_INCENTIVE_200}</t>
  </si>
  <si>
    <t>Nghỉ khám thai</t>
  </si>
  <si>
    <t>${reports.PREGNANCY_EXAMINATION_DAYS}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</si>
</sst>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84" formatCode="dd/mm/yyyy;@"/>
    <numFmt numFmtId="185" formatCode="dd/mm/yy"/>
    <numFmt numFmtId="186" formatCode="_-* #,##0.00_-;\-* #,##0.00_-;_-* &quot;&quot;??_-;_-@_-"/>
    <numFmt numFmtId="187" formatCode="_-* #,##0_-;\-* #,##0_-;_-* &quot;-&quot;_-;_-@_-"/>
    <numFmt numFmtId="188" formatCode="_-* #,##0.00_-;\-* #,##0.00_-;_-* &quot;-&quot;_-;_-@_-"/>
    <numFmt numFmtId="189" formatCode="dd"/>
  </numFmts>
  <fonts count="30">
    <font>
      <sz val="10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9"/>
      <name val="宋体"/>
      <charset val="134"/>
    </font>
    <font>
      <sz val="11"/>
      <name val="돋움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3"/>
      <color indexed="8"/>
      <name val="Times New Roman"/>
      <family val="1"/>
    </font>
    <font>
      <sz val="12"/>
      <color indexed="8"/>
      <name val="Arial"/>
      <family val="2"/>
    </font>
    <font>
      <sz val="8"/>
      <color indexed="8"/>
      <name val="Arial"/>
      <family val="2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28"/>
      <color theme="6" tint="-0.249977111117893"/>
      <name val="Times New Roman"/>
      <family val="1"/>
    </font>
    <font>
      <b/>
      <sz val="28"/>
      <color theme="4" tint="-0.499984740745262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6"/>
      <color rgb="FF00B0F0"/>
      <name val="Showcard Gothic"/>
      <family val="5"/>
    </font>
    <font>
      <b/>
      <sz val="16"/>
      <color rgb="FF002060"/>
      <name val="Showcard Gothic"/>
      <family val="5"/>
    </font>
  </fonts>
  <fills count="3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85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1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7" borderId="0" applyNumberFormat="0" applyBorder="0" applyAlignment="0" applyProtection="0"/>
    <xf numFmtId="0" fontId="20" fillId="38" borderId="0" applyNumberFormat="0" applyBorder="0" applyAlignment="0" applyProtection="0"/>
  </cellStyleXfs>
  <cellXfs count="89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2" fillId="21" borderId="0" xfId="22" applyFont="1" applyFill="1" applyAlignment="1" applyProtection="1">
      <alignment horizontal="center" vertical="center"/>
    </xf>
    <xf numFmtId="0" fontId="22" fillId="21" borderId="0" xfId="22" applyFont="1" applyFill="1" applyAlignment="1" applyProtection="1">
      <alignment vertical="center"/>
    </xf>
    <xf numFmtId="0" fontId="23" fillId="21" borderId="0" xfId="22" applyFont="1" applyFill="1" applyAlignment="1" applyProtection="1">
      <alignment horizontal="center" vertical="center"/>
    </xf>
    <xf numFmtId="0" fontId="24" fillId="22" borderId="0" xfId="22" applyFont="1" applyFill="1" applyBorder="1" applyAlignment="1" applyProtection="1">
      <alignment horizontal="center" vertical="center"/>
    </xf>
    <xf numFmtId="0" fontId="25" fillId="23" borderId="0" xfId="22" applyFont="1" applyFill="1" applyBorder="1" applyAlignment="1" applyProtection="1">
      <alignment horizontal="center" vertical="center"/>
    </xf>
    <xf numFmtId="0" fontId="25" fillId="23" borderId="5" xfId="22" applyFont="1" applyFill="1" applyBorder="1" applyAlignment="1" applyProtection="1">
      <alignment horizontal="center" vertical="center"/>
    </xf>
    <xf numFmtId="0" fontId="25" fillId="24" borderId="0" xfId="22" applyFont="1" applyFill="1" applyBorder="1" applyAlignment="1" applyProtection="1">
      <alignment horizontal="center" vertical="center"/>
    </xf>
    <xf numFmtId="0" fontId="11" fillId="0" borderId="6" xfId="22" applyFont="1" applyBorder="1" applyAlignment="1" applyProtection="1">
      <alignment horizontal="center" vertical="center" wrapText="1"/>
      <protection locked="0"/>
    </xf>
    <xf numFmtId="49" fontId="11" fillId="0" borderId="7" xfId="22" applyNumberFormat="1" applyFont="1" applyBorder="1" applyAlignment="1" applyProtection="1">
      <alignment horizontal="center" vertical="center" wrapText="1"/>
      <protection locked="0"/>
    </xf>
    <xf numFmtId="184" fontId="11" fillId="0" borderId="7" xfId="22" applyNumberFormat="1" applyFont="1" applyBorder="1" applyAlignment="1" applyProtection="1">
      <alignment horizontal="center" vertical="center" wrapText="1"/>
      <protection locked="0"/>
    </xf>
    <xf numFmtId="0" fontId="11" fillId="0" borderId="7" xfId="22" applyFont="1" applyBorder="1" applyAlignment="1" applyProtection="1">
      <alignment horizontal="center" vertical="center" wrapText="1"/>
      <protection locked="0"/>
    </xf>
    <xf numFmtId="0" fontId="13" fillId="0" borderId="7" xfId="22" applyFont="1" applyBorder="1" applyAlignment="1" applyProtection="1">
      <alignment horizontal="center" vertical="center"/>
    </xf>
    <xf numFmtId="0" fontId="13" fillId="0" borderId="7" xfId="22" applyFont="1" applyFill="1" applyBorder="1" applyAlignment="1" applyProtection="1">
      <alignment horizontal="center" vertical="center"/>
    </xf>
    <xf numFmtId="0" fontId="26" fillId="0" borderId="7" xfId="22" applyFont="1" applyFill="1" applyBorder="1" applyAlignment="1" applyProtection="1">
      <alignment horizontal="center" vertical="center"/>
    </xf>
    <xf numFmtId="0" fontId="11" fillId="0" borderId="8" xfId="22" applyFont="1" applyBorder="1" applyAlignment="1" applyProtection="1">
      <alignment horizontal="center" vertical="center" wrapText="1"/>
      <protection locked="0"/>
    </xf>
    <xf numFmtId="0" fontId="11" fillId="0" borderId="9" xfId="22" applyFont="1" applyBorder="1" applyAlignment="1" applyProtection="1">
      <alignment horizontal="center" vertical="center" wrapText="1"/>
      <protection locked="0"/>
    </xf>
    <xf numFmtId="0" fontId="11" fillId="0" borderId="10" xfId="22" applyFont="1" applyBorder="1" applyAlignment="1" applyProtection="1">
      <alignment horizontal="left" vertical="center" wrapText="1"/>
      <protection locked="0"/>
    </xf>
    <xf numFmtId="184" fontId="11" fillId="0" borderId="10" xfId="22" applyNumberFormat="1" applyFont="1" applyBorder="1" applyAlignment="1" applyProtection="1">
      <alignment horizontal="center" vertical="center" wrapText="1"/>
      <protection locked="0"/>
    </xf>
    <xf numFmtId="0" fontId="11" fillId="0" borderId="10" xfId="22" applyFont="1" applyBorder="1" applyAlignment="1" applyProtection="1">
      <alignment horizontal="center" vertical="center" wrapText="1"/>
      <protection locked="0"/>
    </xf>
    <xf numFmtId="49" fontId="11" fillId="0" borderId="10" xfId="22" applyNumberFormat="1" applyFont="1" applyBorder="1" applyAlignment="1" applyProtection="1">
      <alignment vertical="center" wrapText="1"/>
      <protection locked="0"/>
    </xf>
    <xf numFmtId="0" fontId="11" fillId="22" borderId="10" xfId="22" applyFont="1" applyFill="1" applyBorder="1" applyAlignment="1" applyProtection="1">
      <alignment horizontal="center" vertical="center" wrapText="1"/>
    </xf>
    <xf numFmtId="0" fontId="11" fillId="25" borderId="10" xfId="22" applyFont="1" applyFill="1" applyBorder="1" applyAlignment="1" applyProtection="1">
      <alignment horizontal="center" vertical="center" wrapText="1"/>
    </xf>
    <xf numFmtId="0" fontId="11" fillId="22" borderId="10" xfId="22" applyFont="1" applyFill="1" applyBorder="1" applyAlignment="1" applyProtection="1">
      <alignment horizontal="center" vertical="center" wrapText="1"/>
      <protection locked="0"/>
    </xf>
    <xf numFmtId="188" fontId="27" fillId="25" borderId="10" xfId="21" applyNumberFormat="1" applyFont="1" applyFill="1" applyBorder="1" applyAlignment="1" applyProtection="1">
      <alignment horizontal="center" wrapText="1"/>
    </xf>
    <xf numFmtId="187" fontId="27" fillId="25" borderId="10" xfId="21" applyNumberFormat="1" applyFont="1" applyFill="1" applyBorder="1" applyAlignment="1" applyProtection="1">
      <alignment vertical="center" wrapText="1"/>
    </xf>
    <xf numFmtId="186" fontId="27" fillId="20" borderId="10" xfId="21" applyNumberFormat="1" applyFont="1" applyFill="1" applyBorder="1" applyAlignment="1" applyProtection="1">
      <alignment horizontal="center" wrapText="1"/>
    </xf>
    <xf numFmtId="187" fontId="27" fillId="20" borderId="10" xfId="21" applyNumberFormat="1" applyFont="1" applyFill="1" applyBorder="1" applyAlignment="1" applyProtection="1">
      <alignment vertical="center" wrapText="1"/>
    </xf>
    <xf numFmtId="189" fontId="11" fillId="0" borderId="10" xfId="22" applyNumberFormat="1" applyFont="1" applyBorder="1" applyProtection="1">
      <alignment vertical="center"/>
    </xf>
    <xf numFmtId="189" fontId="11" fillId="0" borderId="10" xfId="22" applyNumberFormat="1" applyFont="1" applyFill="1" applyBorder="1" applyProtection="1">
      <alignment vertical="center"/>
    </xf>
    <xf numFmtId="0" fontId="0" fillId="0" borderId="11" xfId="0" applyBorder="1"/>
    <xf numFmtId="0" fontId="14" fillId="0" borderId="9" xfId="22" applyFont="1" applyFill="1" applyBorder="1" applyAlignment="1" applyProtection="1">
      <alignment horizontal="center" vertical="center" wrapText="1"/>
      <protection locked="0"/>
    </xf>
    <xf numFmtId="49" fontId="14" fillId="0" borderId="10" xfId="22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16" fillId="0" borderId="0" xfId="0" applyFont="1" applyAlignment="1"/>
    <xf numFmtId="0" fontId="0" fillId="0" borderId="0" xfId="0" applyFill="1" applyAlignment="1">
      <alignment horizontal="center"/>
    </xf>
    <xf numFmtId="0" fontId="0" fillId="0" borderId="0" xfId="0" applyFill="1"/>
    <xf numFmtId="2" fontId="17" fillId="0" borderId="0" xfId="0" applyNumberFormat="1" applyFont="1"/>
    <xf numFmtId="0" fontId="17" fillId="0" borderId="0" xfId="0" applyFont="1"/>
    <xf numFmtId="186" fontId="13" fillId="0" borderId="10" xfId="0" applyNumberFormat="1" applyFont="1" applyFill="1" applyBorder="1" applyAlignment="1" applyProtection="1">
      <alignment horizontal="center" vertical="center"/>
    </xf>
    <xf numFmtId="0" fontId="13" fillId="0" borderId="10" xfId="0" applyNumberFormat="1" applyFont="1" applyFill="1" applyBorder="1" applyAlignment="1" applyProtection="1">
      <alignment horizontal="center" vertical="center"/>
    </xf>
    <xf numFmtId="1" fontId="11" fillId="0" borderId="7" xfId="22" applyNumberFormat="1" applyFont="1" applyBorder="1" applyAlignment="1" applyProtection="1">
      <alignment horizontal="center" vertical="center" wrapText="1"/>
      <protection locked="0"/>
    </xf>
    <xf numFmtId="1" fontId="11" fillId="0" borderId="10" xfId="22" applyNumberFormat="1" applyFont="1" applyBorder="1" applyAlignment="1" applyProtection="1">
      <alignment horizontal="center" vertical="center" wrapText="1"/>
      <protection locked="0"/>
    </xf>
    <xf numFmtId="1" fontId="14" fillId="0" borderId="10" xfId="22" applyNumberFormat="1" applyFont="1" applyFill="1" applyBorder="1" applyAlignment="1" applyProtection="1">
      <alignment horizontal="center" vertical="center" wrapText="1"/>
      <protection locked="0"/>
    </xf>
    <xf numFmtId="1" fontId="13" fillId="0" borderId="10" xfId="0" applyNumberFormat="1" applyFont="1" applyFill="1" applyBorder="1" applyAlignment="1" applyProtection="1">
      <alignment horizontal="center" vertical="center"/>
    </xf>
    <xf numFmtId="1" fontId="15" fillId="0" borderId="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9" fontId="11" fillId="25" borderId="10" xfId="22" applyNumberFormat="1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86" fontId="13" fillId="0" borderId="18" xfId="0" applyNumberFormat="1" applyFont="1" applyFill="1" applyBorder="1" applyAlignment="1" applyProtection="1">
      <alignment horizontal="center" vertical="center"/>
    </xf>
    <xf numFmtId="187" fontId="27" fillId="33" borderId="15" xfId="21" applyNumberFormat="1" applyFont="1" applyFill="1" applyBorder="1" applyAlignment="1" applyProtection="1">
      <alignment horizontal="center" vertical="center" wrapText="1"/>
    </xf>
    <xf numFmtId="187" fontId="27" fillId="33" borderId="16" xfId="21" applyNumberFormat="1" applyFont="1" applyFill="1" applyBorder="1" applyAlignment="1" applyProtection="1">
      <alignment horizontal="center" vertical="center" wrapText="1"/>
    </xf>
    <xf numFmtId="0" fontId="29" fillId="26" borderId="0" xfId="22" applyFont="1" applyFill="1" applyAlignment="1" applyProtection="1">
      <alignment horizontal="center" vertical="center"/>
    </xf>
    <xf numFmtId="0" fontId="29" fillId="26" borderId="0" xfId="22" applyFont="1" applyFill="1" applyBorder="1" applyAlignment="1" applyProtection="1">
      <alignment horizontal="center" vertical="center"/>
    </xf>
    <xf numFmtId="0" fontId="12" fillId="0" borderId="7" xfId="22" applyFont="1" applyBorder="1" applyAlignment="1" applyProtection="1">
      <alignment horizontal="center" vertical="center" wrapText="1"/>
    </xf>
    <xf numFmtId="0" fontId="12" fillId="0" borderId="7" xfId="22" applyFont="1" applyBorder="1" applyAlignment="1" applyProtection="1">
      <alignment horizontal="center" vertical="center"/>
    </xf>
    <xf numFmtId="186" fontId="27" fillId="34" borderId="7" xfId="21" applyNumberFormat="1" applyFont="1" applyFill="1" applyBorder="1" applyAlignment="1" applyProtection="1">
      <alignment horizontal="center" vertical="center" wrapText="1"/>
    </xf>
    <xf numFmtId="186" fontId="27" fillId="34" borderId="10" xfId="21" applyNumberFormat="1" applyFont="1" applyFill="1" applyBorder="1" applyAlignment="1" applyProtection="1">
      <alignment horizontal="center" vertical="center" wrapText="1"/>
    </xf>
    <xf numFmtId="187" fontId="27" fillId="25" borderId="15" xfId="21" applyNumberFormat="1" applyFont="1" applyFill="1" applyBorder="1" applyAlignment="1" applyProtection="1">
      <alignment horizontal="center" vertical="center" wrapText="1"/>
    </xf>
    <xf numFmtId="187" fontId="27" fillId="25" borderId="16" xfId="21" applyNumberFormat="1" applyFont="1" applyFill="1" applyBorder="1" applyAlignment="1" applyProtection="1">
      <alignment horizontal="center" vertical="center" wrapText="1"/>
    </xf>
    <xf numFmtId="187" fontId="27" fillId="20" borderId="12" xfId="21" applyNumberFormat="1" applyFont="1" applyFill="1" applyBorder="1" applyAlignment="1" applyProtection="1">
      <alignment horizontal="center" vertical="center" wrapText="1"/>
    </xf>
    <xf numFmtId="187" fontId="27" fillId="20" borderId="14" xfId="21" applyNumberFormat="1" applyFont="1" applyFill="1" applyBorder="1" applyAlignment="1" applyProtection="1">
      <alignment horizontal="center" vertical="center" wrapText="1"/>
    </xf>
    <xf numFmtId="0" fontId="12" fillId="0" borderId="12" xfId="22" applyFont="1" applyBorder="1" applyAlignment="1" applyProtection="1">
      <alignment horizontal="center" vertical="center" wrapText="1"/>
    </xf>
    <xf numFmtId="0" fontId="12" fillId="0" borderId="13" xfId="22" applyFont="1" applyBorder="1" applyAlignment="1" applyProtection="1">
      <alignment horizontal="center" vertical="center"/>
    </xf>
    <xf numFmtId="0" fontId="12" fillId="0" borderId="14" xfId="22" applyFont="1" applyBorder="1" applyAlignment="1" applyProtection="1">
      <alignment horizontal="center" vertical="center"/>
    </xf>
    <xf numFmtId="0" fontId="12" fillId="0" borderId="13" xfId="22" applyFont="1" applyBorder="1" applyAlignment="1" applyProtection="1">
      <alignment horizontal="center" vertical="center" wrapText="1"/>
    </xf>
    <xf numFmtId="0" fontId="12" fillId="0" borderId="14" xfId="22" applyFont="1" applyBorder="1" applyAlignment="1" applyProtection="1">
      <alignment horizontal="center" vertical="center" wrapText="1"/>
    </xf>
    <xf numFmtId="187" fontId="27" fillId="27" borderId="7" xfId="21" applyNumberFormat="1" applyFont="1" applyFill="1" applyBorder="1" applyAlignment="1" applyProtection="1">
      <alignment horizontal="center" vertical="center" wrapText="1"/>
    </xf>
    <xf numFmtId="187" fontId="27" fillId="27" borderId="10" xfId="21" applyNumberFormat="1" applyFont="1" applyFill="1" applyBorder="1" applyAlignment="1" applyProtection="1">
      <alignment horizontal="center" vertical="center" wrapText="1"/>
    </xf>
    <xf numFmtId="187" fontId="27" fillId="31" borderId="15" xfId="21" applyNumberFormat="1" applyFont="1" applyFill="1" applyBorder="1" applyAlignment="1" applyProtection="1">
      <alignment horizontal="center" vertical="center" wrapText="1"/>
    </xf>
    <xf numFmtId="187" fontId="27" fillId="31" borderId="16" xfId="21" applyNumberFormat="1" applyFont="1" applyFill="1" applyBorder="1" applyAlignment="1" applyProtection="1">
      <alignment horizontal="center" vertical="center" wrapText="1"/>
    </xf>
    <xf numFmtId="187" fontId="27" fillId="30" borderId="15" xfId="21" applyNumberFormat="1" applyFont="1" applyFill="1" applyBorder="1" applyAlignment="1" applyProtection="1">
      <alignment horizontal="center" vertical="center" wrapText="1"/>
    </xf>
    <xf numFmtId="187" fontId="27" fillId="30" borderId="16" xfId="21" applyNumberFormat="1" applyFont="1" applyFill="1" applyBorder="1" applyAlignment="1" applyProtection="1">
      <alignment horizontal="center" vertical="center" wrapText="1"/>
    </xf>
    <xf numFmtId="186" fontId="27" fillId="28" borderId="7" xfId="21" applyNumberFormat="1" applyFont="1" applyFill="1" applyBorder="1" applyAlignment="1" applyProtection="1">
      <alignment horizontal="center" vertical="center" wrapText="1"/>
    </xf>
    <xf numFmtId="186" fontId="27" fillId="28" borderId="10" xfId="21" applyNumberFormat="1" applyFont="1" applyFill="1" applyBorder="1" applyAlignment="1" applyProtection="1">
      <alignment horizontal="center" vertical="center" wrapText="1"/>
    </xf>
    <xf numFmtId="187" fontId="27" fillId="29" borderId="15" xfId="21" applyNumberFormat="1" applyFont="1" applyFill="1" applyBorder="1" applyAlignment="1" applyProtection="1">
      <alignment horizontal="center" vertical="center" wrapText="1"/>
    </xf>
    <xf numFmtId="187" fontId="27" fillId="29" borderId="16" xfId="21" applyNumberFormat="1" applyFont="1" applyFill="1" applyBorder="1" applyAlignment="1" applyProtection="1">
      <alignment horizontal="center" vertical="center" wrapText="1"/>
    </xf>
    <xf numFmtId="187" fontId="27" fillId="25" borderId="12" xfId="21" applyNumberFormat="1" applyFont="1" applyFill="1" applyBorder="1" applyAlignment="1" applyProtection="1">
      <alignment horizontal="center" vertical="center" wrapText="1"/>
    </xf>
    <xf numFmtId="187" fontId="27" fillId="25" borderId="14" xfId="21" applyNumberFormat="1" applyFont="1" applyFill="1" applyBorder="1" applyAlignment="1" applyProtection="1">
      <alignment horizontal="center" vertical="center" wrapText="1"/>
    </xf>
    <xf numFmtId="187" fontId="27" fillId="26" borderId="15" xfId="21" applyNumberFormat="1" applyFont="1" applyFill="1" applyBorder="1" applyAlignment="1" applyProtection="1">
      <alignment horizontal="center" vertical="center" wrapText="1"/>
    </xf>
    <xf numFmtId="187" fontId="27" fillId="26" borderId="16" xfId="21" applyNumberFormat="1" applyFont="1" applyFill="1" applyBorder="1" applyAlignment="1" applyProtection="1">
      <alignment horizontal="center" vertical="center" wrapText="1"/>
    </xf>
    <xf numFmtId="187" fontId="27" fillId="32" borderId="7" xfId="21" applyNumberFormat="1" applyFont="1" applyFill="1" applyBorder="1" applyAlignment="1" applyProtection="1">
      <alignment horizontal="center" vertical="center" wrapText="1"/>
    </xf>
    <xf numFmtId="187" fontId="27" fillId="32" borderId="10" xfId="21" applyNumberFormat="1" applyFont="1" applyFill="1" applyBorder="1" applyAlignment="1" applyProtection="1">
      <alignment horizontal="center" vertical="center" wrapText="1"/>
    </xf>
    <xf numFmtId="0" fontId="28" fillId="28" borderId="0" xfId="22" applyFont="1" applyFill="1" applyAlignment="1" applyProtection="1">
      <alignment horizontal="center" vertical="center"/>
    </xf>
    <xf numFmtId="0" fontId="28" fillId="28" borderId="17" xfId="22" applyFont="1" applyFill="1" applyBorder="1" applyAlignment="1" applyProtection="1">
      <alignment horizontal="center" vertical="center"/>
    </xf>
  </cellXfs>
  <cellStyles count="42">
    <cellStyle name="20% - Accent5" xfId="41" builtinId="46" hidden="1"/>
    <cellStyle name="20% - 强调文字颜色 1 2" xfId="1" xr:uid="{78C5E01D-E6B0-46F5-BA8E-1CEC5E142CFC}"/>
    <cellStyle name="20% - 强调文字颜色 2 2" xfId="2" xr:uid="{D35A3974-B8F3-41CC-8623-FFF616D433B1}"/>
    <cellStyle name="20% - 强调文字颜色 3 2" xfId="3" xr:uid="{7B8D6082-C023-4BEE-B471-7594139B48D3}"/>
    <cellStyle name="20% - 强调文字颜色 4 2" xfId="4" xr:uid="{04D3D0D4-D6C8-44B9-AF3C-507C2F2FABE6}"/>
    <cellStyle name="20% - 强调文字颜色 5 2" xfId="5" xr:uid="{7F9EB61D-A618-42B8-A1C5-F74854998324}"/>
    <cellStyle name="20% - 强调文字颜色 6 2" xfId="6" xr:uid="{7EF5CAC7-8606-46E8-B98D-727AB5C4039C}"/>
    <cellStyle name="20% - 着色 5" xfId="7" xr:uid="{73035B5E-E71D-4EC7-9890-75A6F7868E09}"/>
    <cellStyle name="40% - 强调文字颜色 1 2" xfId="8" xr:uid="{998D1830-D7CF-4D8C-9920-730087A28D11}"/>
    <cellStyle name="40% - 强调文字颜色 2 2" xfId="9" xr:uid="{62AB7455-CE3F-4052-9B22-308809858843}"/>
    <cellStyle name="40% - 强调文字颜色 3 2" xfId="10" xr:uid="{C234DF9F-1F9A-4AB1-A2E2-757661632D06}"/>
    <cellStyle name="40% - 强调文字颜色 4 2" xfId="11" xr:uid="{AE5EC66A-1BEE-424E-956D-1C64DDEB27DC}"/>
    <cellStyle name="40% - 强调文字颜色 5 2" xfId="12" xr:uid="{40609E77-A27A-49BF-BD59-F542FD32AFD7}"/>
    <cellStyle name="40% - 强调文字颜色 6 2" xfId="13" xr:uid="{21BA71B6-4156-4593-B4C8-49FB8760258C}"/>
    <cellStyle name="60% - Accent2" xfId="39" builtinId="36" hidden="1"/>
    <cellStyle name="60% - 强调文字颜色 1 2" xfId="14" xr:uid="{7A1FB031-1271-4E54-9F07-F3E7AE03CEA5}"/>
    <cellStyle name="60% - 强调文字颜色 2 2" xfId="15" xr:uid="{53FACED0-3960-4852-B825-BC40FC233B0B}"/>
    <cellStyle name="60% - 强调文字颜色 3 2" xfId="16" xr:uid="{CC57B834-382F-40E3-BA12-64EC6D28A106}"/>
    <cellStyle name="60% - 强调文字颜色 4 2" xfId="17" xr:uid="{A3CD0E25-A2E9-41A5-9773-64BD1AC05611}"/>
    <cellStyle name="60% - 强调文字颜色 5 2" xfId="18" xr:uid="{7CFBB670-9B4E-473E-8612-0AB1856D9393}"/>
    <cellStyle name="60% - 强调文字颜色 6 2" xfId="19" xr:uid="{7F3843E5-A706-4671-B497-7DCD29282B59}"/>
    <cellStyle name="60% - 着色 2" xfId="20" xr:uid="{7E6A8D22-BCB9-4F1F-A97E-E66F783CABB3}"/>
    <cellStyle name="Accent1" xfId="38" builtinId="29" hidden="1"/>
    <cellStyle name="Accent5" xfId="40" builtinId="45" hidden="1"/>
    <cellStyle name="Comma 5" xfId="21" xr:uid="{78272650-3162-44EC-A691-E1FAE20E7DCD}"/>
    <cellStyle name="Normal" xfId="0" builtinId="0"/>
    <cellStyle name="Normal 2" xfId="22" xr:uid="{6D2AF527-3E16-45AD-9922-44747998D39B}"/>
    <cellStyle name="常规 2" xfId="23" xr:uid="{3857B38D-A074-4EDD-ABC0-226A5AB1D9C8}"/>
    <cellStyle name="强调文字颜色 1 2" xfId="24" xr:uid="{39420A14-7524-42C1-9BA2-005ECF5FD947}"/>
    <cellStyle name="强调文字颜色 2 2" xfId="25" xr:uid="{0E36867E-8685-416B-9C7A-6CA2E7E28F3C}"/>
    <cellStyle name="强调文字颜色 3 2" xfId="26" xr:uid="{F7EE36E4-F897-473F-8DD5-3F67DEB543BE}"/>
    <cellStyle name="强调文字颜色 4 2" xfId="27" xr:uid="{96FDCB4C-E5A3-4E6F-913B-EF05864BE5DF}"/>
    <cellStyle name="强调文字颜色 5 2" xfId="28" xr:uid="{3D2774CE-709B-4786-B34C-DECF34D42F9C}"/>
    <cellStyle name="强调文字颜色 6 2" xfId="29" xr:uid="{2491D1B3-F7D2-44A2-9CBB-D4389CDB2E29}"/>
    <cellStyle name="标题 1 2" xfId="30" xr:uid="{7CBB9C67-740E-4A98-80C4-20C41B480306}"/>
    <cellStyle name="标题 2 2" xfId="31" xr:uid="{20C6C105-D869-4949-97F3-B747A8CFD9B5}"/>
    <cellStyle name="标题 3 2" xfId="32" xr:uid="{16292B2E-5B49-4127-AAE2-CFB7061933F1}"/>
    <cellStyle name="标题 4 2" xfId="33" xr:uid="{DB5E8BE4-358D-438D-9759-D2E930883B89}"/>
    <cellStyle name="标题 5" xfId="34" xr:uid="{081125A1-0298-4607-ACFD-AA87E77EA7C3}"/>
    <cellStyle name="汇总 2" xfId="35" xr:uid="{0A338E9D-6558-41B1-B76C-B787293EB06C}"/>
    <cellStyle name="着色 1" xfId="36" xr:uid="{E4908C84-9833-4B4D-8C09-87DC3A0D73BD}"/>
    <cellStyle name="着色 5" xfId="37" xr:uid="{A46265A5-1B4B-495E-ACCA-3F2AF14EC9DA}"/>
  </cellStyles>
  <dxfs count="3">
    <dxf>
      <font>
        <condense val="0"/>
        <extend val="0"/>
        <color indexed="20"/>
      </font>
      <fill>
        <patternFill>
          <bgColor indexed="45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FE8AFD87-9727-4666-8B85-00D9F792897E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alary/B&#7842;NG%20L&#431;&#416;NG%20TH&#193;NG%2012-%202017.xlsx" TargetMode="External"/><Relationship Id="rId1" Type="http://schemas.openxmlformats.org/officeDocument/2006/relationships/externalLinkPath" Target="/Salary/B&#7842;NG%20L&#431;&#416;NG%20TH&#193;NG%2012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ịch năm+lịch lễ tết"/>
      <sheetName val="TOTAL"/>
      <sheetName val="REGULAR SALARY 11"/>
      <sheetName val="PROBATION SALARY 11"/>
      <sheetName val="Regular attendance 11"/>
      <sheetName val="Probation attendance 11"/>
      <sheetName val="Full attendance"/>
      <sheetName val="Salary Lever 11"/>
    </sheetNames>
    <sheetDataSet>
      <sheetData sheetId="0" refreshError="1">
        <row r="2">
          <cell r="D2">
            <v>0</v>
          </cell>
          <cell r="E2">
            <v>0</v>
          </cell>
        </row>
        <row r="3">
          <cell r="D3">
            <v>0</v>
          </cell>
          <cell r="E3">
            <v>43113</v>
          </cell>
        </row>
        <row r="4">
          <cell r="D4">
            <v>0</v>
          </cell>
          <cell r="E4">
            <v>43127</v>
          </cell>
        </row>
        <row r="5">
          <cell r="D5">
            <v>0</v>
          </cell>
          <cell r="E5">
            <v>0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0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19">
          <cell r="D19">
            <v>0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0</v>
          </cell>
          <cell r="E21">
            <v>0</v>
          </cell>
        </row>
        <row r="22">
          <cell r="D22">
            <v>0</v>
          </cell>
          <cell r="E22">
            <v>0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084A-70BD-4522-B4EB-DFC23F864D42}">
  <dimension ref="A1:GF24"/>
  <sheetViews>
    <sheetView tabSelected="1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B3" sqref="B3"/>
    </sheetView>
  </sheetViews>
  <sheetFormatPr defaultRowHeight="12.75"/>
  <cols>
    <col min="1" max="1" width="5" style="1" customWidth="1"/>
    <col min="2" max="2" width="14.85546875" style="50" customWidth="1"/>
    <col min="3" max="3" width="22.28515625" style="1" customWidth="1"/>
    <col min="4" max="4" width="21.85546875" style="2" customWidth="1"/>
    <col min="5" max="6" width="29.28515625" style="2" customWidth="1"/>
    <col min="7" max="8" width="16.140625" style="2" customWidth="1"/>
    <col min="9" max="9" width="15.7109375" style="2" customWidth="1"/>
    <col min="10" max="10" width="10.140625" style="2" customWidth="1"/>
    <col min="11" max="11" width="9.140625" style="2"/>
    <col min="12" max="12" width="10.5703125" style="2" customWidth="1"/>
    <col min="13" max="13" width="9.7109375" style="2" customWidth="1"/>
    <col min="14" max="14" width="9.140625" style="2"/>
    <col min="15" max="15" width="10.28515625" style="2" customWidth="1"/>
    <col min="16" max="16" width="10.85546875" style="2" customWidth="1"/>
    <col min="17" max="17" width="9" style="2" customWidth="1"/>
    <col min="18" max="18" width="10.7109375" style="2" customWidth="1"/>
    <col min="19" max="19" width="8.28515625" style="2" customWidth="1"/>
    <col min="20" max="20" width="10.7109375" style="2" customWidth="1"/>
    <col min="21" max="21" width="10" style="2" customWidth="1"/>
    <col min="22" max="22" width="10.140625" style="2" customWidth="1"/>
    <col min="23" max="23" width="9.140625" style="2"/>
    <col min="24" max="24" width="11.140625" style="2" customWidth="1"/>
    <col min="25" max="25" width="9.140625" style="2"/>
    <col min="26" max="26" width="10.5703125" style="2" customWidth="1"/>
    <col min="27" max="43" width="9.140625" style="2"/>
    <col min="44" max="47" width="10.28515625" style="2" customWidth="1"/>
    <col min="48" max="48" width="9.85546875" style="2" customWidth="1"/>
    <col min="49" max="49" width="10.140625" style="2" customWidth="1"/>
    <col min="50" max="50" width="11.140625" style="2" customWidth="1"/>
    <col min="51" max="51" width="9.140625" style="2"/>
    <col min="52" max="52" width="10.7109375" style="2" customWidth="1"/>
    <col min="53" max="55" width="11.7109375" style="2" customWidth="1"/>
    <col min="56" max="103" width="9.140625" style="2"/>
    <col min="104" max="107" width="12.7109375" style="2" customWidth="1"/>
    <col min="108" max="16384" width="9.140625" style="2"/>
  </cols>
  <sheetData>
    <row r="1" spans="1:188" customFormat="1" ht="32.25" customHeight="1">
      <c r="A1" s="56" t="s">
        <v>150</v>
      </c>
      <c r="B1" s="56"/>
      <c r="C1" s="56"/>
      <c r="D1" s="87" t="s">
        <v>151</v>
      </c>
      <c r="E1" s="4"/>
      <c r="F1" s="4" t="s">
        <v>0</v>
      </c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 t="s">
        <v>1</v>
      </c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 t="s">
        <v>2</v>
      </c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8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 t="s">
        <v>3</v>
      </c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</row>
    <row r="2" spans="1:188" customFormat="1" ht="20.25" customHeight="1" thickBot="1">
      <c r="A2" s="57"/>
      <c r="B2" s="57"/>
      <c r="C2" s="57"/>
      <c r="D2" s="88"/>
      <c r="E2" s="4"/>
      <c r="F2" s="4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8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</row>
    <row r="3" spans="1:188" customFormat="1" ht="53.25" customHeight="1" thickTop="1">
      <c r="A3" s="10" t="s">
        <v>4</v>
      </c>
      <c r="B3" s="45" t="s">
        <v>5</v>
      </c>
      <c r="C3" s="13" t="s">
        <v>137</v>
      </c>
      <c r="D3" s="12" t="s">
        <v>138</v>
      </c>
      <c r="E3" s="11" t="s">
        <v>6</v>
      </c>
      <c r="F3" s="11" t="s">
        <v>246</v>
      </c>
      <c r="G3" s="13" t="s">
        <v>7</v>
      </c>
      <c r="H3" s="13" t="s">
        <v>340</v>
      </c>
      <c r="I3" s="13" t="s">
        <v>139</v>
      </c>
      <c r="J3" s="66" t="s">
        <v>331</v>
      </c>
      <c r="K3" s="67"/>
      <c r="L3" s="68"/>
      <c r="M3" s="66" t="s">
        <v>251</v>
      </c>
      <c r="N3" s="69"/>
      <c r="O3" s="70"/>
      <c r="P3" s="58" t="s">
        <v>332</v>
      </c>
      <c r="Q3" s="58"/>
      <c r="R3" s="58" t="s">
        <v>252</v>
      </c>
      <c r="S3" s="58"/>
      <c r="T3" s="58" t="s">
        <v>333</v>
      </c>
      <c r="U3" s="58"/>
      <c r="V3" s="58" t="s">
        <v>334</v>
      </c>
      <c r="W3" s="58"/>
      <c r="X3" s="58" t="s">
        <v>335</v>
      </c>
      <c r="Y3" s="59"/>
      <c r="Z3" s="58" t="s">
        <v>253</v>
      </c>
      <c r="AA3" s="59"/>
      <c r="AB3" s="66" t="s">
        <v>428</v>
      </c>
      <c r="AC3" s="69"/>
      <c r="AD3" s="69"/>
      <c r="AE3" s="67"/>
      <c r="AF3" s="68"/>
      <c r="AG3" s="66" t="s">
        <v>429</v>
      </c>
      <c r="AH3" s="69"/>
      <c r="AI3" s="69"/>
      <c r="AJ3" s="67"/>
      <c r="AK3" s="68"/>
      <c r="AL3" s="66" t="s">
        <v>432</v>
      </c>
      <c r="AM3" s="69"/>
      <c r="AN3" s="70"/>
      <c r="AO3" s="66" t="s">
        <v>433</v>
      </c>
      <c r="AP3" s="69"/>
      <c r="AQ3" s="70"/>
      <c r="AR3" s="66" t="s">
        <v>430</v>
      </c>
      <c r="AS3" s="67"/>
      <c r="AT3" s="66" t="s">
        <v>431</v>
      </c>
      <c r="AU3" s="67"/>
      <c r="AV3" s="58" t="s">
        <v>336</v>
      </c>
      <c r="AW3" s="58"/>
      <c r="AX3" s="58"/>
      <c r="AY3" s="58" t="s">
        <v>254</v>
      </c>
      <c r="AZ3" s="58"/>
      <c r="BA3" s="58"/>
      <c r="BB3" s="77" t="s">
        <v>341</v>
      </c>
      <c r="BC3" s="77" t="s">
        <v>342</v>
      </c>
      <c r="BD3" s="60" t="s">
        <v>337</v>
      </c>
      <c r="BE3" s="60" t="s">
        <v>281</v>
      </c>
      <c r="BF3" s="77" t="s">
        <v>338</v>
      </c>
      <c r="BG3" s="77" t="s">
        <v>282</v>
      </c>
      <c r="BH3" s="81" t="s">
        <v>141</v>
      </c>
      <c r="BI3" s="82"/>
      <c r="BJ3" s="81" t="s">
        <v>255</v>
      </c>
      <c r="BK3" s="82"/>
      <c r="BL3" s="64" t="s">
        <v>144</v>
      </c>
      <c r="BM3" s="65"/>
      <c r="BN3" s="64" t="s">
        <v>256</v>
      </c>
      <c r="BO3" s="65"/>
      <c r="BP3" s="62" t="s">
        <v>358</v>
      </c>
      <c r="BQ3" s="62" t="s">
        <v>359</v>
      </c>
      <c r="BR3" s="62" t="s">
        <v>401</v>
      </c>
      <c r="BS3" s="83" t="s">
        <v>145</v>
      </c>
      <c r="BT3" s="79" t="s">
        <v>149</v>
      </c>
      <c r="BU3" s="79" t="s">
        <v>259</v>
      </c>
      <c r="BV3" s="85" t="s">
        <v>385</v>
      </c>
      <c r="BW3" s="85" t="s">
        <v>386</v>
      </c>
      <c r="BX3" s="71" t="s">
        <v>404</v>
      </c>
      <c r="BY3" s="71" t="s">
        <v>405</v>
      </c>
      <c r="BZ3" s="71" t="s">
        <v>406</v>
      </c>
      <c r="CA3" s="71" t="s">
        <v>407</v>
      </c>
      <c r="CB3" s="75" t="s">
        <v>146</v>
      </c>
      <c r="CC3" s="75" t="s">
        <v>257</v>
      </c>
      <c r="CD3" s="73" t="s">
        <v>147</v>
      </c>
      <c r="CE3" s="73" t="s">
        <v>258</v>
      </c>
      <c r="CF3" s="83" t="s">
        <v>352</v>
      </c>
      <c r="CG3" s="83" t="s">
        <v>353</v>
      </c>
      <c r="CH3" s="83" t="s">
        <v>377</v>
      </c>
      <c r="CI3" s="83" t="s">
        <v>378</v>
      </c>
      <c r="CJ3" s="85" t="s">
        <v>148</v>
      </c>
      <c r="CK3" s="85" t="s">
        <v>389</v>
      </c>
      <c r="CL3" s="54" t="s">
        <v>416</v>
      </c>
      <c r="CM3" s="54" t="s">
        <v>417</v>
      </c>
      <c r="CN3" s="79" t="s">
        <v>362</v>
      </c>
      <c r="CO3" s="79" t="s">
        <v>363</v>
      </c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6"/>
      <c r="FA3" s="16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7" t="s">
        <v>8</v>
      </c>
      <c r="GF3" s="52" t="s">
        <v>468</v>
      </c>
    </row>
    <row r="4" spans="1:188" customFormat="1" ht="47.25">
      <c r="A4" s="18"/>
      <c r="B4" s="46"/>
      <c r="C4" s="19"/>
      <c r="D4" s="20"/>
      <c r="E4" s="22"/>
      <c r="F4" s="22"/>
      <c r="G4" s="21"/>
      <c r="H4" s="21"/>
      <c r="I4" s="21"/>
      <c r="J4" s="23" t="s">
        <v>367</v>
      </c>
      <c r="K4" s="24" t="s">
        <v>368</v>
      </c>
      <c r="L4" s="24" t="s">
        <v>260</v>
      </c>
      <c r="M4" s="23" t="s">
        <v>367</v>
      </c>
      <c r="N4" s="24" t="s">
        <v>368</v>
      </c>
      <c r="O4" s="24" t="s">
        <v>260</v>
      </c>
      <c r="P4" s="23" t="s">
        <v>369</v>
      </c>
      <c r="Q4" s="24" t="s">
        <v>370</v>
      </c>
      <c r="R4" s="23" t="s">
        <v>369</v>
      </c>
      <c r="S4" s="24" t="s">
        <v>370</v>
      </c>
      <c r="T4" s="23" t="s">
        <v>369</v>
      </c>
      <c r="U4" s="24" t="s">
        <v>370</v>
      </c>
      <c r="V4" s="23" t="s">
        <v>369</v>
      </c>
      <c r="W4" s="24" t="s">
        <v>370</v>
      </c>
      <c r="X4" s="23" t="s">
        <v>371</v>
      </c>
      <c r="Y4" s="24" t="s">
        <v>372</v>
      </c>
      <c r="Z4" s="23" t="s">
        <v>371</v>
      </c>
      <c r="AA4" s="24" t="s">
        <v>372</v>
      </c>
      <c r="AB4" s="51">
        <v>1.5</v>
      </c>
      <c r="AC4" s="51">
        <v>2</v>
      </c>
      <c r="AD4" s="51">
        <v>2.7</v>
      </c>
      <c r="AE4" s="51">
        <v>3</v>
      </c>
      <c r="AF4" s="51">
        <v>3.9</v>
      </c>
      <c r="AG4" s="51">
        <v>1.5</v>
      </c>
      <c r="AH4" s="51">
        <v>2</v>
      </c>
      <c r="AI4" s="51">
        <v>2.7</v>
      </c>
      <c r="AJ4" s="51">
        <v>3</v>
      </c>
      <c r="AK4" s="51">
        <v>3.9</v>
      </c>
      <c r="AL4" s="51">
        <v>2</v>
      </c>
      <c r="AM4" s="51">
        <v>2.7</v>
      </c>
      <c r="AN4" s="51">
        <v>3.9</v>
      </c>
      <c r="AO4" s="51">
        <v>2</v>
      </c>
      <c r="AP4" s="51">
        <v>2.7</v>
      </c>
      <c r="AQ4" s="51">
        <v>3.9</v>
      </c>
      <c r="AR4" s="51">
        <v>2</v>
      </c>
      <c r="AS4" s="51">
        <v>2.7</v>
      </c>
      <c r="AT4" s="51">
        <v>2</v>
      </c>
      <c r="AU4" s="51">
        <v>2.7</v>
      </c>
      <c r="AV4" s="25" t="s">
        <v>140</v>
      </c>
      <c r="AW4" s="24" t="s">
        <v>345</v>
      </c>
      <c r="AX4" s="24" t="s">
        <v>321</v>
      </c>
      <c r="AY4" s="25" t="s">
        <v>140</v>
      </c>
      <c r="AZ4" s="24" t="s">
        <v>345</v>
      </c>
      <c r="BA4" s="24" t="s">
        <v>321</v>
      </c>
      <c r="BB4" s="78"/>
      <c r="BC4" s="78"/>
      <c r="BD4" s="61"/>
      <c r="BE4" s="61"/>
      <c r="BF4" s="78"/>
      <c r="BG4" s="78"/>
      <c r="BH4" s="26" t="s">
        <v>142</v>
      </c>
      <c r="BI4" s="27" t="s">
        <v>143</v>
      </c>
      <c r="BJ4" s="26" t="s">
        <v>142</v>
      </c>
      <c r="BK4" s="27" t="s">
        <v>143</v>
      </c>
      <c r="BL4" s="28" t="s">
        <v>142</v>
      </c>
      <c r="BM4" s="29" t="s">
        <v>143</v>
      </c>
      <c r="BN4" s="28" t="s">
        <v>142</v>
      </c>
      <c r="BO4" s="29" t="s">
        <v>143</v>
      </c>
      <c r="BP4" s="63"/>
      <c r="BQ4" s="63"/>
      <c r="BR4" s="63"/>
      <c r="BS4" s="84"/>
      <c r="BT4" s="80"/>
      <c r="BU4" s="80"/>
      <c r="BV4" s="86"/>
      <c r="BW4" s="86"/>
      <c r="BX4" s="72"/>
      <c r="BY4" s="72"/>
      <c r="BZ4" s="72"/>
      <c r="CA4" s="72"/>
      <c r="CB4" s="76"/>
      <c r="CC4" s="76"/>
      <c r="CD4" s="74"/>
      <c r="CE4" s="74"/>
      <c r="CF4" s="84"/>
      <c r="CG4" s="84"/>
      <c r="CH4" s="84"/>
      <c r="CI4" s="84"/>
      <c r="CJ4" s="86"/>
      <c r="CK4" s="86"/>
      <c r="CL4" s="55"/>
      <c r="CM4" s="55"/>
      <c r="CN4" s="80"/>
      <c r="CO4" s="80"/>
      <c r="CP4" s="30">
        <v>43306</v>
      </c>
      <c r="CQ4" s="30">
        <f>CP4+1</f>
        <v>43307</v>
      </c>
      <c r="CR4" s="31">
        <f t="shared" ref="CR4:DT4" si="0">CQ4+1</f>
        <v>43308</v>
      </c>
      <c r="CS4" s="30">
        <f t="shared" si="0"/>
        <v>43309</v>
      </c>
      <c r="CT4" s="30">
        <f t="shared" si="0"/>
        <v>43310</v>
      </c>
      <c r="CU4" s="30">
        <f t="shared" si="0"/>
        <v>43311</v>
      </c>
      <c r="CV4" s="30">
        <f t="shared" si="0"/>
        <v>43312</v>
      </c>
      <c r="CW4" s="30">
        <f t="shared" si="0"/>
        <v>43313</v>
      </c>
      <c r="CX4" s="30">
        <f t="shared" si="0"/>
        <v>43314</v>
      </c>
      <c r="CY4" s="30">
        <f t="shared" si="0"/>
        <v>43315</v>
      </c>
      <c r="CZ4" s="30">
        <f t="shared" si="0"/>
        <v>43316</v>
      </c>
      <c r="DA4" s="30">
        <f t="shared" si="0"/>
        <v>43317</v>
      </c>
      <c r="DB4" s="30">
        <f t="shared" si="0"/>
        <v>43318</v>
      </c>
      <c r="DC4" s="30">
        <f t="shared" si="0"/>
        <v>43319</v>
      </c>
      <c r="DD4" s="30">
        <f t="shared" si="0"/>
        <v>43320</v>
      </c>
      <c r="DE4" s="30">
        <f t="shared" si="0"/>
        <v>43321</v>
      </c>
      <c r="DF4" s="30">
        <f>DE4+1</f>
        <v>43322</v>
      </c>
      <c r="DG4" s="30">
        <f t="shared" si="0"/>
        <v>43323</v>
      </c>
      <c r="DH4" s="30">
        <f t="shared" si="0"/>
        <v>43324</v>
      </c>
      <c r="DI4" s="30">
        <f t="shared" si="0"/>
        <v>43325</v>
      </c>
      <c r="DJ4" s="30">
        <f t="shared" si="0"/>
        <v>43326</v>
      </c>
      <c r="DK4" s="30">
        <f t="shared" si="0"/>
        <v>43327</v>
      </c>
      <c r="DL4" s="30">
        <f t="shared" si="0"/>
        <v>43328</v>
      </c>
      <c r="DM4" s="30">
        <f t="shared" si="0"/>
        <v>43329</v>
      </c>
      <c r="DN4" s="30">
        <f t="shared" si="0"/>
        <v>43330</v>
      </c>
      <c r="DO4" s="30">
        <f t="shared" si="0"/>
        <v>43331</v>
      </c>
      <c r="DP4" s="30">
        <f t="shared" si="0"/>
        <v>43332</v>
      </c>
      <c r="DQ4" s="30">
        <f t="shared" si="0"/>
        <v>43333</v>
      </c>
      <c r="DR4" s="30">
        <f t="shared" si="0"/>
        <v>43334</v>
      </c>
      <c r="DS4" s="31">
        <f t="shared" si="0"/>
        <v>43335</v>
      </c>
      <c r="DT4" s="31">
        <f t="shared" si="0"/>
        <v>43336</v>
      </c>
      <c r="DU4" s="31">
        <v>43306</v>
      </c>
      <c r="DV4" s="31">
        <f>DU4+1</f>
        <v>43307</v>
      </c>
      <c r="DW4" s="31">
        <f t="shared" ref="DW4:EY4" si="1">DV4+1</f>
        <v>43308</v>
      </c>
      <c r="DX4" s="31">
        <f t="shared" si="1"/>
        <v>43309</v>
      </c>
      <c r="DY4" s="31">
        <f t="shared" si="1"/>
        <v>43310</v>
      </c>
      <c r="DZ4" s="31">
        <f t="shared" si="1"/>
        <v>43311</v>
      </c>
      <c r="EA4" s="31">
        <f t="shared" si="1"/>
        <v>43312</v>
      </c>
      <c r="EB4" s="31">
        <f t="shared" si="1"/>
        <v>43313</v>
      </c>
      <c r="EC4" s="31">
        <f t="shared" si="1"/>
        <v>43314</v>
      </c>
      <c r="ED4" s="31">
        <f t="shared" si="1"/>
        <v>43315</v>
      </c>
      <c r="EE4" s="31">
        <f t="shared" si="1"/>
        <v>43316</v>
      </c>
      <c r="EF4" s="31">
        <f t="shared" si="1"/>
        <v>43317</v>
      </c>
      <c r="EG4" s="31">
        <f t="shared" si="1"/>
        <v>43318</v>
      </c>
      <c r="EH4" s="31">
        <f t="shared" si="1"/>
        <v>43319</v>
      </c>
      <c r="EI4" s="31">
        <f t="shared" si="1"/>
        <v>43320</v>
      </c>
      <c r="EJ4" s="31">
        <f t="shared" si="1"/>
        <v>43321</v>
      </c>
      <c r="EK4" s="31">
        <f t="shared" si="1"/>
        <v>43322</v>
      </c>
      <c r="EL4" s="31">
        <f t="shared" si="1"/>
        <v>43323</v>
      </c>
      <c r="EM4" s="31">
        <f t="shared" si="1"/>
        <v>43324</v>
      </c>
      <c r="EN4" s="31">
        <f t="shared" si="1"/>
        <v>43325</v>
      </c>
      <c r="EO4" s="31">
        <f t="shared" si="1"/>
        <v>43326</v>
      </c>
      <c r="EP4" s="31">
        <f>EO4+1</f>
        <v>43327</v>
      </c>
      <c r="EQ4" s="31">
        <f t="shared" si="1"/>
        <v>43328</v>
      </c>
      <c r="ER4" s="31">
        <f t="shared" si="1"/>
        <v>43329</v>
      </c>
      <c r="ES4" s="31">
        <f t="shared" si="1"/>
        <v>43330</v>
      </c>
      <c r="ET4" s="31">
        <f t="shared" si="1"/>
        <v>43331</v>
      </c>
      <c r="EU4" s="31">
        <f t="shared" si="1"/>
        <v>43332</v>
      </c>
      <c r="EV4" s="31">
        <f t="shared" si="1"/>
        <v>43333</v>
      </c>
      <c r="EW4" s="31">
        <f t="shared" si="1"/>
        <v>43334</v>
      </c>
      <c r="EX4" s="31">
        <f t="shared" si="1"/>
        <v>43335</v>
      </c>
      <c r="EY4" s="31">
        <f t="shared" si="1"/>
        <v>43336</v>
      </c>
      <c r="EZ4" s="31">
        <v>43306</v>
      </c>
      <c r="FA4" s="31">
        <f>EZ4+1</f>
        <v>43307</v>
      </c>
      <c r="FB4" s="31">
        <f t="shared" ref="FB4:GD4" si="2">FA4+1</f>
        <v>43308</v>
      </c>
      <c r="FC4" s="31">
        <f t="shared" si="2"/>
        <v>43309</v>
      </c>
      <c r="FD4" s="31">
        <f t="shared" si="2"/>
        <v>43310</v>
      </c>
      <c r="FE4" s="31">
        <f t="shared" si="2"/>
        <v>43311</v>
      </c>
      <c r="FF4" s="31">
        <f t="shared" si="2"/>
        <v>43312</v>
      </c>
      <c r="FG4" s="31">
        <f t="shared" si="2"/>
        <v>43313</v>
      </c>
      <c r="FH4" s="31">
        <f t="shared" si="2"/>
        <v>43314</v>
      </c>
      <c r="FI4" s="31">
        <f t="shared" si="2"/>
        <v>43315</v>
      </c>
      <c r="FJ4" s="31">
        <f t="shared" si="2"/>
        <v>43316</v>
      </c>
      <c r="FK4" s="31">
        <f t="shared" si="2"/>
        <v>43317</v>
      </c>
      <c r="FL4" s="31">
        <f t="shared" si="2"/>
        <v>43318</v>
      </c>
      <c r="FM4" s="31">
        <f t="shared" si="2"/>
        <v>43319</v>
      </c>
      <c r="FN4" s="31">
        <f t="shared" si="2"/>
        <v>43320</v>
      </c>
      <c r="FO4" s="31">
        <f t="shared" si="2"/>
        <v>43321</v>
      </c>
      <c r="FP4" s="31">
        <f t="shared" si="2"/>
        <v>43322</v>
      </c>
      <c r="FQ4" s="31">
        <f t="shared" si="2"/>
        <v>43323</v>
      </c>
      <c r="FR4" s="31">
        <f t="shared" si="2"/>
        <v>43324</v>
      </c>
      <c r="FS4" s="31">
        <f t="shared" si="2"/>
        <v>43325</v>
      </c>
      <c r="FT4" s="31">
        <f t="shared" si="2"/>
        <v>43326</v>
      </c>
      <c r="FU4" s="31">
        <f t="shared" si="2"/>
        <v>43327</v>
      </c>
      <c r="FV4" s="31">
        <f t="shared" si="2"/>
        <v>43328</v>
      </c>
      <c r="FW4" s="31">
        <f t="shared" si="2"/>
        <v>43329</v>
      </c>
      <c r="FX4" s="31">
        <f t="shared" si="2"/>
        <v>43330</v>
      </c>
      <c r="FY4" s="31">
        <f t="shared" si="2"/>
        <v>43331</v>
      </c>
      <c r="FZ4" s="31">
        <f t="shared" si="2"/>
        <v>43332</v>
      </c>
      <c r="GA4" s="31">
        <f t="shared" si="2"/>
        <v>43333</v>
      </c>
      <c r="GB4" s="31">
        <f t="shared" si="2"/>
        <v>43334</v>
      </c>
      <c r="GC4" s="31">
        <f t="shared" si="2"/>
        <v>43335</v>
      </c>
      <c r="GD4" s="31">
        <f t="shared" si="2"/>
        <v>43336</v>
      </c>
      <c r="GE4" s="32"/>
    </row>
    <row r="5" spans="1:188" customFormat="1" ht="27" customHeight="1">
      <c r="A5" s="33"/>
      <c r="B5" s="47" t="s">
        <v>9</v>
      </c>
      <c r="C5" s="34" t="s">
        <v>10</v>
      </c>
      <c r="D5" s="47" t="s">
        <v>11</v>
      </c>
      <c r="E5" s="34" t="s">
        <v>373</v>
      </c>
      <c r="F5" s="47" t="s">
        <v>12</v>
      </c>
      <c r="G5" s="34" t="s">
        <v>13</v>
      </c>
      <c r="H5" s="47" t="s">
        <v>14</v>
      </c>
      <c r="I5" s="34" t="s">
        <v>15</v>
      </c>
      <c r="J5" s="47" t="s">
        <v>247</v>
      </c>
      <c r="K5" s="34" t="s">
        <v>294</v>
      </c>
      <c r="L5" s="47" t="s">
        <v>295</v>
      </c>
      <c r="M5" s="34" t="s">
        <v>296</v>
      </c>
      <c r="N5" s="47" t="s">
        <v>16</v>
      </c>
      <c r="O5" s="34" t="s">
        <v>297</v>
      </c>
      <c r="P5" s="47" t="s">
        <v>17</v>
      </c>
      <c r="Q5" s="34" t="s">
        <v>18</v>
      </c>
      <c r="R5" s="47" t="s">
        <v>19</v>
      </c>
      <c r="S5" s="34" t="s">
        <v>298</v>
      </c>
      <c r="T5" s="47" t="s">
        <v>20</v>
      </c>
      <c r="U5" s="34" t="s">
        <v>21</v>
      </c>
      <c r="V5" s="47" t="s">
        <v>22</v>
      </c>
      <c r="W5" s="34" t="s">
        <v>23</v>
      </c>
      <c r="X5" s="47" t="s">
        <v>24</v>
      </c>
      <c r="Y5" s="34" t="s">
        <v>25</v>
      </c>
      <c r="Z5" s="47" t="s">
        <v>26</v>
      </c>
      <c r="AA5" s="34" t="s">
        <v>27</v>
      </c>
      <c r="AB5" s="47" t="s">
        <v>28</v>
      </c>
      <c r="AC5" s="34" t="s">
        <v>29</v>
      </c>
      <c r="AD5" s="47" t="s">
        <v>30</v>
      </c>
      <c r="AE5" s="34" t="s">
        <v>31</v>
      </c>
      <c r="AF5" s="47" t="s">
        <v>32</v>
      </c>
      <c r="AG5" s="34" t="s">
        <v>33</v>
      </c>
      <c r="AH5" s="47" t="s">
        <v>34</v>
      </c>
      <c r="AI5" s="34" t="s">
        <v>35</v>
      </c>
      <c r="AJ5" s="47" t="s">
        <v>36</v>
      </c>
      <c r="AK5" s="34" t="s">
        <v>37</v>
      </c>
      <c r="AL5" s="47" t="s">
        <v>38</v>
      </c>
      <c r="AM5" s="34" t="s">
        <v>39</v>
      </c>
      <c r="AN5" s="47" t="s">
        <v>40</v>
      </c>
      <c r="AO5" s="34" t="s">
        <v>41</v>
      </c>
      <c r="AP5" s="47" t="s">
        <v>42</v>
      </c>
      <c r="AQ5" s="34" t="s">
        <v>43</v>
      </c>
      <c r="AR5" s="47" t="s">
        <v>44</v>
      </c>
      <c r="AS5" s="34" t="s">
        <v>45</v>
      </c>
      <c r="AT5" s="47" t="s">
        <v>46</v>
      </c>
      <c r="AU5" s="34" t="s">
        <v>47</v>
      </c>
      <c r="AV5" s="47" t="s">
        <v>48</v>
      </c>
      <c r="AW5" s="34" t="s">
        <v>49</v>
      </c>
      <c r="AX5" s="47" t="s">
        <v>50</v>
      </c>
      <c r="AY5" s="34" t="s">
        <v>51</v>
      </c>
      <c r="AZ5" s="47" t="s">
        <v>52</v>
      </c>
      <c r="BA5" s="34" t="s">
        <v>53</v>
      </c>
      <c r="BB5" s="47" t="s">
        <v>54</v>
      </c>
      <c r="BC5" s="34" t="s">
        <v>55</v>
      </c>
      <c r="BD5" s="47" t="s">
        <v>56</v>
      </c>
      <c r="BE5" s="34" t="s">
        <v>57</v>
      </c>
      <c r="BF5" s="47" t="s">
        <v>58</v>
      </c>
      <c r="BG5" s="34" t="s">
        <v>59</v>
      </c>
      <c r="BH5" s="47" t="s">
        <v>60</v>
      </c>
      <c r="BI5" s="34" t="s">
        <v>61</v>
      </c>
      <c r="BJ5" s="47" t="s">
        <v>62</v>
      </c>
      <c r="BK5" s="34" t="s">
        <v>63</v>
      </c>
      <c r="BL5" s="47" t="s">
        <v>64</v>
      </c>
      <c r="BM5" s="34" t="s">
        <v>65</v>
      </c>
      <c r="BN5" s="47" t="s">
        <v>66</v>
      </c>
      <c r="BO5" s="34" t="s">
        <v>67</v>
      </c>
      <c r="BP5" s="47" t="s">
        <v>68</v>
      </c>
      <c r="BQ5" s="34" t="s">
        <v>69</v>
      </c>
      <c r="BR5" s="47" t="s">
        <v>70</v>
      </c>
      <c r="BS5" s="34" t="s">
        <v>71</v>
      </c>
      <c r="BT5" s="47" t="s">
        <v>72</v>
      </c>
      <c r="BU5" s="34" t="s">
        <v>73</v>
      </c>
      <c r="BV5" s="47" t="s">
        <v>74</v>
      </c>
      <c r="BW5" s="34" t="s">
        <v>75</v>
      </c>
      <c r="BX5" s="47" t="s">
        <v>76</v>
      </c>
      <c r="BY5" s="34" t="s">
        <v>77</v>
      </c>
      <c r="BZ5" s="47" t="s">
        <v>78</v>
      </c>
      <c r="CA5" s="34" t="s">
        <v>79</v>
      </c>
      <c r="CB5" s="47" t="s">
        <v>80</v>
      </c>
      <c r="CC5" s="34" t="s">
        <v>81</v>
      </c>
      <c r="CD5" s="47" t="s">
        <v>82</v>
      </c>
      <c r="CE5" s="34" t="s">
        <v>83</v>
      </c>
      <c r="CF5" s="47" t="s">
        <v>84</v>
      </c>
      <c r="CG5" s="34" t="s">
        <v>85</v>
      </c>
      <c r="CH5" s="47" t="s">
        <v>86</v>
      </c>
      <c r="CI5" s="34" t="s">
        <v>87</v>
      </c>
      <c r="CJ5" s="47" t="s">
        <v>88</v>
      </c>
      <c r="CK5" s="34" t="s">
        <v>89</v>
      </c>
      <c r="CL5" s="47" t="s">
        <v>90</v>
      </c>
      <c r="CM5" s="34" t="s">
        <v>91</v>
      </c>
      <c r="CN5" s="47" t="s">
        <v>92</v>
      </c>
      <c r="CO5" s="34" t="s">
        <v>93</v>
      </c>
      <c r="CP5" s="47" t="s">
        <v>94</v>
      </c>
      <c r="CQ5" s="34" t="s">
        <v>95</v>
      </c>
      <c r="CR5" s="47" t="s">
        <v>96</v>
      </c>
      <c r="CS5" s="34" t="s">
        <v>97</v>
      </c>
      <c r="CT5" s="47" t="s">
        <v>98</v>
      </c>
      <c r="CU5" s="34" t="s">
        <v>99</v>
      </c>
      <c r="CV5" s="47" t="s">
        <v>100</v>
      </c>
      <c r="CW5" s="34" t="s">
        <v>101</v>
      </c>
      <c r="CX5" s="47" t="s">
        <v>102</v>
      </c>
      <c r="CY5" s="34" t="s">
        <v>103</v>
      </c>
      <c r="CZ5" s="47" t="s">
        <v>104</v>
      </c>
      <c r="DA5" s="34" t="s">
        <v>105</v>
      </c>
      <c r="DB5" s="47" t="s">
        <v>106</v>
      </c>
      <c r="DC5" s="34" t="s">
        <v>107</v>
      </c>
      <c r="DD5" s="47" t="s">
        <v>108</v>
      </c>
      <c r="DE5" s="34" t="s">
        <v>109</v>
      </c>
      <c r="DF5" s="47" t="s">
        <v>110</v>
      </c>
      <c r="DG5" s="34" t="s">
        <v>111</v>
      </c>
      <c r="DH5" s="47" t="s">
        <v>112</v>
      </c>
      <c r="DI5" s="34" t="s">
        <v>113</v>
      </c>
      <c r="DJ5" s="47" t="s">
        <v>114</v>
      </c>
      <c r="DK5" s="34" t="s">
        <v>115</v>
      </c>
      <c r="DL5" s="47" t="s">
        <v>116</v>
      </c>
      <c r="DM5" s="34" t="s">
        <v>117</v>
      </c>
      <c r="DN5" s="47" t="s">
        <v>118</v>
      </c>
      <c r="DO5" s="34" t="s">
        <v>119</v>
      </c>
      <c r="DP5" s="47" t="s">
        <v>120</v>
      </c>
      <c r="DQ5" s="34" t="s">
        <v>121</v>
      </c>
      <c r="DR5" s="47" t="s">
        <v>122</v>
      </c>
      <c r="DS5" s="34" t="s">
        <v>123</v>
      </c>
      <c r="DT5" s="47" t="s">
        <v>124</v>
      </c>
      <c r="DU5" s="34" t="s">
        <v>125</v>
      </c>
      <c r="DV5" s="47" t="s">
        <v>126</v>
      </c>
      <c r="DW5" s="34" t="s">
        <v>127</v>
      </c>
      <c r="DX5" s="47" t="s">
        <v>299</v>
      </c>
      <c r="DY5" s="34" t="s">
        <v>300</v>
      </c>
      <c r="DZ5" s="47" t="s">
        <v>301</v>
      </c>
      <c r="EA5" s="34" t="s">
        <v>302</v>
      </c>
      <c r="EB5" s="47" t="s">
        <v>303</v>
      </c>
      <c r="EC5" s="34" t="s">
        <v>304</v>
      </c>
      <c r="ED5" s="47" t="s">
        <v>305</v>
      </c>
      <c r="EE5" s="34" t="s">
        <v>306</v>
      </c>
      <c r="EF5" s="47" t="s">
        <v>307</v>
      </c>
      <c r="EG5" s="34" t="s">
        <v>308</v>
      </c>
      <c r="EH5" s="47" t="s">
        <v>309</v>
      </c>
      <c r="EI5" s="34" t="s">
        <v>310</v>
      </c>
      <c r="EJ5" s="47" t="s">
        <v>311</v>
      </c>
      <c r="EK5" s="34" t="s">
        <v>312</v>
      </c>
      <c r="EL5" s="47" t="s">
        <v>313</v>
      </c>
      <c r="EM5" s="34" t="s">
        <v>314</v>
      </c>
      <c r="EN5" s="47" t="s">
        <v>315</v>
      </c>
      <c r="EO5" s="34" t="s">
        <v>316</v>
      </c>
      <c r="EP5" s="47" t="s">
        <v>348</v>
      </c>
      <c r="EQ5" s="34" t="s">
        <v>349</v>
      </c>
      <c r="ER5" s="47" t="s">
        <v>350</v>
      </c>
      <c r="ES5" s="34" t="s">
        <v>351</v>
      </c>
      <c r="ET5" s="47" t="s">
        <v>356</v>
      </c>
      <c r="EU5" s="34" t="s">
        <v>357</v>
      </c>
      <c r="EV5" s="47" t="s">
        <v>364</v>
      </c>
      <c r="EW5" s="34" t="s">
        <v>365</v>
      </c>
      <c r="EX5" s="47" t="s">
        <v>366</v>
      </c>
      <c r="EY5" s="34" t="s">
        <v>381</v>
      </c>
      <c r="EZ5" s="47" t="s">
        <v>382</v>
      </c>
      <c r="FA5" s="34" t="s">
        <v>390</v>
      </c>
      <c r="FB5" s="47" t="s">
        <v>391</v>
      </c>
      <c r="FC5" s="34" t="s">
        <v>392</v>
      </c>
      <c r="FD5" s="47" t="s">
        <v>399</v>
      </c>
      <c r="FE5" s="34" t="s">
        <v>400</v>
      </c>
      <c r="FF5" s="47" t="s">
        <v>402</v>
      </c>
      <c r="FG5" s="34" t="s">
        <v>412</v>
      </c>
      <c r="FH5" s="47" t="s">
        <v>413</v>
      </c>
      <c r="FI5" s="34" t="s">
        <v>420</v>
      </c>
      <c r="FJ5" s="47" t="s">
        <v>421</v>
      </c>
      <c r="FK5" s="34" t="s">
        <v>434</v>
      </c>
      <c r="FL5" s="47" t="s">
        <v>435</v>
      </c>
      <c r="FM5" s="34" t="s">
        <v>436</v>
      </c>
      <c r="FN5" s="47" t="s">
        <v>437</v>
      </c>
      <c r="FO5" s="34" t="s">
        <v>438</v>
      </c>
      <c r="FP5" s="47" t="s">
        <v>439</v>
      </c>
      <c r="FQ5" s="34" t="s">
        <v>440</v>
      </c>
      <c r="FR5" s="47" t="s">
        <v>441</v>
      </c>
      <c r="FS5" s="34" t="s">
        <v>442</v>
      </c>
      <c r="FT5" s="47" t="s">
        <v>443</v>
      </c>
      <c r="FU5" s="34" t="s">
        <v>444</v>
      </c>
      <c r="FV5" s="47" t="s">
        <v>445</v>
      </c>
      <c r="FW5" s="34" t="s">
        <v>446</v>
      </c>
      <c r="FX5" s="47" t="s">
        <v>447</v>
      </c>
      <c r="FY5" s="34" t="s">
        <v>448</v>
      </c>
      <c r="FZ5" s="47" t="s">
        <v>449</v>
      </c>
      <c r="GA5" s="34" t="s">
        <v>450</v>
      </c>
      <c r="GB5" s="47" t="s">
        <v>451</v>
      </c>
      <c r="GC5" s="34" t="s">
        <v>452</v>
      </c>
      <c r="GD5" s="47" t="s">
        <v>453</v>
      </c>
      <c r="GE5" s="32"/>
    </row>
    <row r="6" spans="1:188" customFormat="1" ht="27" customHeight="1">
      <c r="A6" s="43" t="s">
        <v>130</v>
      </c>
      <c r="B6" s="48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</row>
    <row r="7" spans="1:188" customFormat="1" ht="27" customHeight="1">
      <c r="A7" s="44" t="s">
        <v>152</v>
      </c>
      <c r="B7" s="48" t="s">
        <v>132</v>
      </c>
      <c r="C7" s="43" t="s">
        <v>133</v>
      </c>
      <c r="D7" s="43" t="s">
        <v>134</v>
      </c>
      <c r="E7" s="43" t="s">
        <v>248</v>
      </c>
      <c r="F7" s="43" t="s">
        <v>249</v>
      </c>
      <c r="G7" s="43" t="s">
        <v>136</v>
      </c>
      <c r="H7" s="43" t="s">
        <v>339</v>
      </c>
      <c r="I7" s="43" t="s">
        <v>135</v>
      </c>
      <c r="J7" s="43" t="s">
        <v>261</v>
      </c>
      <c r="K7" s="43" t="s">
        <v>262</v>
      </c>
      <c r="L7" s="43" t="s">
        <v>263</v>
      </c>
      <c r="M7" s="43" t="s">
        <v>266</v>
      </c>
      <c r="N7" s="43" t="s">
        <v>267</v>
      </c>
      <c r="O7" s="43" t="s">
        <v>268</v>
      </c>
      <c r="P7" s="43" t="s">
        <v>264</v>
      </c>
      <c r="Q7" s="43" t="s">
        <v>265</v>
      </c>
      <c r="R7" s="43" t="s">
        <v>269</v>
      </c>
      <c r="S7" s="43" t="s">
        <v>270</v>
      </c>
      <c r="T7" s="43" t="s">
        <v>275</v>
      </c>
      <c r="U7" s="43" t="s">
        <v>276</v>
      </c>
      <c r="V7" s="43" t="s">
        <v>271</v>
      </c>
      <c r="W7" s="43" t="s">
        <v>272</v>
      </c>
      <c r="X7" s="43" t="s">
        <v>277</v>
      </c>
      <c r="Y7" s="43" t="s">
        <v>278</v>
      </c>
      <c r="Z7" s="43" t="s">
        <v>273</v>
      </c>
      <c r="AA7" s="43" t="s">
        <v>274</v>
      </c>
      <c r="AB7" s="43" t="s">
        <v>425</v>
      </c>
      <c r="AC7" s="43" t="s">
        <v>454</v>
      </c>
      <c r="AD7" s="43" t="s">
        <v>455</v>
      </c>
      <c r="AE7" s="43" t="s">
        <v>456</v>
      </c>
      <c r="AF7" s="43" t="s">
        <v>457</v>
      </c>
      <c r="AG7" s="43" t="s">
        <v>424</v>
      </c>
      <c r="AH7" s="43" t="s">
        <v>458</v>
      </c>
      <c r="AI7" s="43" t="s">
        <v>459</v>
      </c>
      <c r="AJ7" s="43" t="s">
        <v>460</v>
      </c>
      <c r="AK7" s="43" t="s">
        <v>461</v>
      </c>
      <c r="AL7" s="43" t="s">
        <v>462</v>
      </c>
      <c r="AM7" s="43" t="s">
        <v>463</v>
      </c>
      <c r="AN7" s="43" t="s">
        <v>464</v>
      </c>
      <c r="AO7" s="43" t="s">
        <v>467</v>
      </c>
      <c r="AP7" s="43" t="s">
        <v>466</v>
      </c>
      <c r="AQ7" s="43" t="s">
        <v>465</v>
      </c>
      <c r="AR7" s="43" t="s">
        <v>426</v>
      </c>
      <c r="AS7" s="43" t="s">
        <v>427</v>
      </c>
      <c r="AT7" s="43" t="s">
        <v>423</v>
      </c>
      <c r="AU7" s="43" t="s">
        <v>422</v>
      </c>
      <c r="AV7" s="43" t="s">
        <v>329</v>
      </c>
      <c r="AW7" s="43" t="s">
        <v>279</v>
      </c>
      <c r="AX7" s="43" t="s">
        <v>346</v>
      </c>
      <c r="AY7" s="43" t="s">
        <v>330</v>
      </c>
      <c r="AZ7" s="43" t="s">
        <v>280</v>
      </c>
      <c r="BA7" s="43" t="s">
        <v>347</v>
      </c>
      <c r="BB7" s="43" t="s">
        <v>344</v>
      </c>
      <c r="BC7" s="43" t="s">
        <v>343</v>
      </c>
      <c r="BD7" s="43" t="s">
        <v>329</v>
      </c>
      <c r="BE7" s="43" t="s">
        <v>330</v>
      </c>
      <c r="BF7" s="43" t="s">
        <v>410</v>
      </c>
      <c r="BG7" s="43" t="s">
        <v>411</v>
      </c>
      <c r="BH7" s="43" t="s">
        <v>288</v>
      </c>
      <c r="BI7" s="43" t="s">
        <v>289</v>
      </c>
      <c r="BJ7" s="43" t="s">
        <v>283</v>
      </c>
      <c r="BK7" s="43" t="s">
        <v>284</v>
      </c>
      <c r="BL7" s="43" t="s">
        <v>290</v>
      </c>
      <c r="BM7" s="43" t="s">
        <v>291</v>
      </c>
      <c r="BN7" s="43" t="s">
        <v>285</v>
      </c>
      <c r="BO7" s="43" t="s">
        <v>286</v>
      </c>
      <c r="BP7" s="43" t="s">
        <v>360</v>
      </c>
      <c r="BQ7" s="43" t="s">
        <v>361</v>
      </c>
      <c r="BR7" s="43" t="s">
        <v>403</v>
      </c>
      <c r="BS7" s="43" t="s">
        <v>292</v>
      </c>
      <c r="BT7" s="43" t="s">
        <v>293</v>
      </c>
      <c r="BU7" s="43" t="s">
        <v>287</v>
      </c>
      <c r="BV7" s="43" t="s">
        <v>388</v>
      </c>
      <c r="BW7" s="43" t="s">
        <v>387</v>
      </c>
      <c r="BX7" s="43" t="s">
        <v>397</v>
      </c>
      <c r="BY7" s="43" t="s">
        <v>398</v>
      </c>
      <c r="BZ7" s="43" t="s">
        <v>409</v>
      </c>
      <c r="CA7" s="43" t="s">
        <v>408</v>
      </c>
      <c r="CB7" s="43" t="s">
        <v>319</v>
      </c>
      <c r="CC7" s="43" t="s">
        <v>320</v>
      </c>
      <c r="CD7" s="43" t="s">
        <v>317</v>
      </c>
      <c r="CE7" s="43" t="s">
        <v>318</v>
      </c>
      <c r="CF7" s="43" t="s">
        <v>354</v>
      </c>
      <c r="CG7" s="43" t="s">
        <v>355</v>
      </c>
      <c r="CH7" s="43" t="s">
        <v>379</v>
      </c>
      <c r="CI7" s="43" t="s">
        <v>380</v>
      </c>
      <c r="CJ7" s="43" t="s">
        <v>393</v>
      </c>
      <c r="CK7" s="43" t="s">
        <v>394</v>
      </c>
      <c r="CL7" s="43" t="s">
        <v>419</v>
      </c>
      <c r="CM7" s="43" t="s">
        <v>418</v>
      </c>
      <c r="CN7" s="43" t="s">
        <v>395</v>
      </c>
      <c r="CO7" s="43" t="s">
        <v>396</v>
      </c>
      <c r="CP7" s="43" t="s">
        <v>156</v>
      </c>
      <c r="CQ7" s="43" t="s">
        <v>157</v>
      </c>
      <c r="CR7" s="43" t="s">
        <v>158</v>
      </c>
      <c r="CS7" s="43" t="s">
        <v>159</v>
      </c>
      <c r="CT7" s="43" t="s">
        <v>160</v>
      </c>
      <c r="CU7" s="43" t="s">
        <v>161</v>
      </c>
      <c r="CV7" s="43" t="s">
        <v>162</v>
      </c>
      <c r="CW7" s="43" t="s">
        <v>153</v>
      </c>
      <c r="CX7" s="43" t="s">
        <v>154</v>
      </c>
      <c r="CY7" s="43" t="s">
        <v>155</v>
      </c>
      <c r="CZ7" s="43" t="s">
        <v>163</v>
      </c>
      <c r="DA7" s="43" t="s">
        <v>164</v>
      </c>
      <c r="DB7" s="43" t="s">
        <v>166</v>
      </c>
      <c r="DC7" s="43" t="s">
        <v>168</v>
      </c>
      <c r="DD7" s="43" t="s">
        <v>169</v>
      </c>
      <c r="DE7" s="43" t="s">
        <v>170</v>
      </c>
      <c r="DF7" s="43" t="s">
        <v>171</v>
      </c>
      <c r="DG7" s="43" t="s">
        <v>172</v>
      </c>
      <c r="DH7" s="43" t="s">
        <v>173</v>
      </c>
      <c r="DI7" s="43" t="s">
        <v>165</v>
      </c>
      <c r="DJ7" s="43" t="s">
        <v>167</v>
      </c>
      <c r="DK7" s="43" t="s">
        <v>175</v>
      </c>
      <c r="DL7" s="43" t="s">
        <v>176</v>
      </c>
      <c r="DM7" s="43" t="s">
        <v>177</v>
      </c>
      <c r="DN7" s="43" t="s">
        <v>178</v>
      </c>
      <c r="DO7" s="43" t="s">
        <v>179</v>
      </c>
      <c r="DP7" s="43" t="s">
        <v>180</v>
      </c>
      <c r="DQ7" s="43" t="s">
        <v>181</v>
      </c>
      <c r="DR7" s="43" t="s">
        <v>174</v>
      </c>
      <c r="DS7" s="43" t="s">
        <v>182</v>
      </c>
      <c r="DT7" s="43" t="s">
        <v>183</v>
      </c>
      <c r="DU7" s="43" t="s">
        <v>185</v>
      </c>
      <c r="DV7" s="43" t="s">
        <v>186</v>
      </c>
      <c r="DW7" s="43" t="s">
        <v>187</v>
      </c>
      <c r="DX7" s="43" t="s">
        <v>188</v>
      </c>
      <c r="DY7" s="43" t="s">
        <v>190</v>
      </c>
      <c r="DZ7" s="43" t="s">
        <v>191</v>
      </c>
      <c r="EA7" s="43" t="s">
        <v>192</v>
      </c>
      <c r="EB7" s="43" t="s">
        <v>184</v>
      </c>
      <c r="EC7" s="43" t="s">
        <v>189</v>
      </c>
      <c r="ED7" s="43" t="s">
        <v>193</v>
      </c>
      <c r="EE7" s="43" t="s">
        <v>194</v>
      </c>
      <c r="EF7" s="43" t="s">
        <v>195</v>
      </c>
      <c r="EG7" s="43" t="s">
        <v>196</v>
      </c>
      <c r="EH7" s="43" t="s">
        <v>197</v>
      </c>
      <c r="EI7" s="43" t="s">
        <v>198</v>
      </c>
      <c r="EJ7" s="43" t="s">
        <v>199</v>
      </c>
      <c r="EK7" s="43" t="s">
        <v>200</v>
      </c>
      <c r="EL7" s="43" t="s">
        <v>201</v>
      </c>
      <c r="EM7" s="43" t="s">
        <v>202</v>
      </c>
      <c r="EN7" s="43" t="s">
        <v>203</v>
      </c>
      <c r="EO7" s="43" t="s">
        <v>204</v>
      </c>
      <c r="EP7" s="43" t="s">
        <v>205</v>
      </c>
      <c r="EQ7" s="43" t="s">
        <v>206</v>
      </c>
      <c r="ER7" s="43" t="s">
        <v>207</v>
      </c>
      <c r="ES7" s="43" t="s">
        <v>208</v>
      </c>
      <c r="ET7" s="43" t="s">
        <v>209</v>
      </c>
      <c r="EU7" s="43" t="s">
        <v>210</v>
      </c>
      <c r="EV7" s="43" t="s">
        <v>211</v>
      </c>
      <c r="EW7" s="43" t="s">
        <v>212</v>
      </c>
      <c r="EX7" s="43" t="s">
        <v>213</v>
      </c>
      <c r="EY7" s="43" t="s">
        <v>214</v>
      </c>
      <c r="EZ7" s="43" t="s">
        <v>215</v>
      </c>
      <c r="FA7" s="43" t="s">
        <v>216</v>
      </c>
      <c r="FB7" s="43" t="s">
        <v>217</v>
      </c>
      <c r="FC7" s="43" t="s">
        <v>218</v>
      </c>
      <c r="FD7" s="43" t="s">
        <v>219</v>
      </c>
      <c r="FE7" s="43" t="s">
        <v>220</v>
      </c>
      <c r="FF7" s="43" t="s">
        <v>221</v>
      </c>
      <c r="FG7" s="43" t="s">
        <v>222</v>
      </c>
      <c r="FH7" s="43" t="s">
        <v>223</v>
      </c>
      <c r="FI7" s="43" t="s">
        <v>224</v>
      </c>
      <c r="FJ7" s="43" t="s">
        <v>225</v>
      </c>
      <c r="FK7" s="43" t="s">
        <v>226</v>
      </c>
      <c r="FL7" s="43" t="s">
        <v>227</v>
      </c>
      <c r="FM7" s="43" t="s">
        <v>228</v>
      </c>
      <c r="FN7" s="43" t="s">
        <v>229</v>
      </c>
      <c r="FO7" s="43" t="s">
        <v>230</v>
      </c>
      <c r="FP7" s="43" t="s">
        <v>231</v>
      </c>
      <c r="FQ7" s="43" t="s">
        <v>232</v>
      </c>
      <c r="FR7" s="43" t="s">
        <v>233</v>
      </c>
      <c r="FS7" s="43" t="s">
        <v>234</v>
      </c>
      <c r="FT7" s="43" t="s">
        <v>235</v>
      </c>
      <c r="FU7" s="43" t="s">
        <v>236</v>
      </c>
      <c r="FV7" s="43" t="s">
        <v>237</v>
      </c>
      <c r="FW7" s="43" t="s">
        <v>238</v>
      </c>
      <c r="FX7" s="43" t="s">
        <v>239</v>
      </c>
      <c r="FY7" s="43" t="s">
        <v>240</v>
      </c>
      <c r="FZ7" s="43" t="s">
        <v>241</v>
      </c>
      <c r="GA7" s="43" t="s">
        <v>242</v>
      </c>
      <c r="GB7" s="43" t="s">
        <v>243</v>
      </c>
      <c r="GC7" s="43" t="s">
        <v>244</v>
      </c>
      <c r="GD7" s="43" t="s">
        <v>245</v>
      </c>
      <c r="GE7" s="43"/>
      <c r="GF7" s="53" t="s">
        <v>469</v>
      </c>
    </row>
    <row r="8" spans="1:188" customFormat="1" ht="27" customHeight="1">
      <c r="A8" s="43" t="s">
        <v>131</v>
      </c>
      <c r="B8" s="48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</row>
    <row r="9" spans="1:188" customFormat="1" ht="16.5">
      <c r="B9" s="49" t="s">
        <v>128</v>
      </c>
      <c r="C9" s="35" t="s">
        <v>324</v>
      </c>
      <c r="D9" s="36"/>
      <c r="E9" s="37"/>
      <c r="F9" s="37"/>
      <c r="G9" s="38"/>
      <c r="H9" s="38"/>
      <c r="I9" s="39"/>
      <c r="DR9" s="2"/>
      <c r="DS9" s="2"/>
      <c r="DT9" s="2"/>
      <c r="DU9" s="2"/>
      <c r="DV9" s="2"/>
      <c r="DW9" s="40"/>
      <c r="DX9" s="40"/>
      <c r="DY9" s="40"/>
      <c r="DZ9" s="40"/>
      <c r="EA9" s="40"/>
      <c r="EB9" s="40"/>
      <c r="EC9" s="40"/>
      <c r="ED9" s="40"/>
      <c r="EE9" s="40"/>
      <c r="EX9" s="41"/>
    </row>
    <row r="10" spans="1:188" customFormat="1" ht="16.5">
      <c r="B10" s="49"/>
      <c r="C10" s="35" t="s">
        <v>322</v>
      </c>
      <c r="D10" s="36"/>
      <c r="E10" s="37"/>
      <c r="F10" s="37"/>
      <c r="G10" s="38"/>
      <c r="H10" s="38"/>
      <c r="I10" s="39"/>
      <c r="DR10" s="2"/>
      <c r="DS10" s="2"/>
      <c r="DT10" s="2"/>
      <c r="DU10" s="2"/>
      <c r="DV10" s="2"/>
      <c r="DW10" s="40"/>
      <c r="DX10" s="40"/>
      <c r="DY10" s="40"/>
      <c r="DZ10" s="40"/>
      <c r="EA10" s="40"/>
      <c r="EB10" s="40"/>
      <c r="EC10" s="40"/>
      <c r="ED10" s="40"/>
      <c r="EE10" s="40"/>
      <c r="EK10" s="42"/>
    </row>
    <row r="11" spans="1:188" customFormat="1" ht="16.5">
      <c r="B11" s="49"/>
      <c r="C11" s="35" t="s">
        <v>328</v>
      </c>
      <c r="D11" s="36"/>
      <c r="E11" s="37"/>
      <c r="F11" s="37"/>
      <c r="G11" s="38"/>
      <c r="H11" s="38"/>
      <c r="I11" s="39"/>
      <c r="DR11" s="2"/>
      <c r="DS11" s="2"/>
      <c r="DT11" s="2"/>
      <c r="DU11" s="2"/>
      <c r="DV11" s="2"/>
      <c r="DW11" s="40"/>
      <c r="DX11" s="40"/>
      <c r="DY11" s="40"/>
      <c r="DZ11" s="40"/>
      <c r="EA11" s="40"/>
      <c r="EB11" s="40"/>
      <c r="EC11" s="40"/>
      <c r="ED11" s="40"/>
      <c r="EE11" s="40"/>
      <c r="EI11" s="41"/>
    </row>
    <row r="12" spans="1:188" customFormat="1" ht="16.5">
      <c r="B12" s="49"/>
      <c r="C12" s="35" t="s">
        <v>325</v>
      </c>
      <c r="D12" s="36"/>
      <c r="E12" s="37"/>
      <c r="F12" s="37"/>
      <c r="G12" s="38"/>
      <c r="H12" s="38"/>
      <c r="I12" s="39"/>
      <c r="DR12" s="2"/>
      <c r="DS12" s="2"/>
      <c r="DT12" s="2"/>
      <c r="DU12" s="2"/>
      <c r="DV12" s="2"/>
      <c r="DW12" s="40"/>
      <c r="DX12" s="40"/>
      <c r="DY12" s="40"/>
      <c r="DZ12" s="40"/>
      <c r="EA12" s="40"/>
      <c r="EB12" s="40"/>
      <c r="EC12" s="40"/>
      <c r="ED12" s="40"/>
      <c r="EE12" s="40"/>
    </row>
    <row r="13" spans="1:188" customFormat="1" ht="16.5">
      <c r="B13" s="49"/>
      <c r="C13" s="35" t="s">
        <v>326</v>
      </c>
      <c r="D13" s="36"/>
      <c r="E13" s="37"/>
      <c r="F13" s="37"/>
      <c r="G13" s="38"/>
      <c r="H13" s="38"/>
      <c r="I13" s="39"/>
      <c r="DR13" s="2"/>
      <c r="DS13" s="2"/>
      <c r="DT13" s="2"/>
      <c r="DU13" s="2"/>
      <c r="DV13" s="2"/>
      <c r="DW13" s="40"/>
      <c r="DX13" s="40"/>
      <c r="DY13" s="40"/>
      <c r="DZ13" s="40"/>
      <c r="EA13" s="40"/>
      <c r="EB13" s="40"/>
      <c r="EC13" s="40"/>
      <c r="ED13" s="40"/>
      <c r="EE13" s="40"/>
    </row>
    <row r="14" spans="1:188" customFormat="1" ht="16.5">
      <c r="B14" s="49"/>
      <c r="C14" s="35" t="s">
        <v>327</v>
      </c>
      <c r="D14" s="36"/>
      <c r="E14" s="37"/>
      <c r="F14" s="37"/>
      <c r="G14" s="38"/>
      <c r="H14" s="38"/>
      <c r="I14" s="39"/>
      <c r="DR14" s="2"/>
      <c r="DS14" s="2"/>
      <c r="DT14" s="2"/>
      <c r="DU14" s="2"/>
      <c r="DV14" s="2"/>
      <c r="DW14" s="40"/>
      <c r="DX14" s="40"/>
      <c r="DY14" s="40"/>
      <c r="DZ14" s="40"/>
      <c r="EA14" s="40"/>
      <c r="EB14" s="40"/>
      <c r="EC14" s="40"/>
      <c r="ED14" s="40"/>
      <c r="EE14" s="40"/>
    </row>
    <row r="15" spans="1:188" customFormat="1" ht="16.5">
      <c r="B15" s="49"/>
      <c r="C15" s="35" t="s">
        <v>384</v>
      </c>
      <c r="D15" s="36"/>
      <c r="E15" s="37"/>
      <c r="F15" s="37"/>
      <c r="G15" s="38"/>
      <c r="H15" s="38"/>
      <c r="I15" s="39"/>
      <c r="DR15" s="2"/>
      <c r="DS15" s="2"/>
      <c r="DT15" s="2"/>
      <c r="DU15" s="2"/>
      <c r="DV15" s="2"/>
      <c r="DW15" s="40"/>
      <c r="DX15" s="40"/>
      <c r="DY15" s="40"/>
      <c r="DZ15" s="40"/>
      <c r="EA15" s="40"/>
      <c r="EB15" s="40"/>
      <c r="EC15" s="40"/>
      <c r="ED15" s="40"/>
      <c r="EE15" s="40"/>
    </row>
    <row r="16" spans="1:188" ht="16.5">
      <c r="C16" s="35" t="s">
        <v>250</v>
      </c>
      <c r="FT16"/>
      <c r="FU16"/>
      <c r="FV16"/>
      <c r="FW16"/>
      <c r="FX16"/>
      <c r="FY16"/>
      <c r="FZ16"/>
      <c r="GA16"/>
      <c r="GB16"/>
      <c r="GC16"/>
      <c r="GD16"/>
      <c r="GE16"/>
    </row>
    <row r="17" spans="3:3" ht="16.5">
      <c r="C17" s="35" t="s">
        <v>129</v>
      </c>
    </row>
    <row r="18" spans="3:3" ht="16.5">
      <c r="C18" s="35" t="s">
        <v>323</v>
      </c>
    </row>
    <row r="19" spans="3:3" ht="16.5">
      <c r="C19" s="35" t="s">
        <v>374</v>
      </c>
    </row>
    <row r="20" spans="3:3" ht="16.5">
      <c r="C20" s="35" t="s">
        <v>375</v>
      </c>
    </row>
    <row r="21" spans="3:3" ht="16.5">
      <c r="C21" s="35" t="s">
        <v>376</v>
      </c>
    </row>
    <row r="22" spans="3:3" ht="16.5">
      <c r="C22" s="35" t="s">
        <v>383</v>
      </c>
    </row>
    <row r="23" spans="3:3" ht="16.5">
      <c r="C23" s="35" t="s">
        <v>414</v>
      </c>
    </row>
    <row r="24" spans="3:3" ht="16.5">
      <c r="C24" s="35" t="s">
        <v>415</v>
      </c>
    </row>
  </sheetData>
  <mergeCells count="54">
    <mergeCell ref="CF3:CF4"/>
    <mergeCell ref="BZ3:BZ4"/>
    <mergeCell ref="CA3:CA4"/>
    <mergeCell ref="BJ3:BK3"/>
    <mergeCell ref="BV3:BV4"/>
    <mergeCell ref="BW3:BW4"/>
    <mergeCell ref="D1:D2"/>
    <mergeCell ref="AY3:BA3"/>
    <mergeCell ref="BB3:BB4"/>
    <mergeCell ref="BC3:BC4"/>
    <mergeCell ref="AR3:AS3"/>
    <mergeCell ref="AT3:AU3"/>
    <mergeCell ref="AL3:AN3"/>
    <mergeCell ref="AO3:AQ3"/>
    <mergeCell ref="CG3:CG4"/>
    <mergeCell ref="CO3:CO4"/>
    <mergeCell ref="BS3:BS4"/>
    <mergeCell ref="CB3:CB4"/>
    <mergeCell ref="CD3:CD4"/>
    <mergeCell ref="CN3:CN4"/>
    <mergeCell ref="CK3:CK4"/>
    <mergeCell ref="CH3:CH4"/>
    <mergeCell ref="CI3:CI4"/>
    <mergeCell ref="CJ3:CJ4"/>
    <mergeCell ref="BX3:BX4"/>
    <mergeCell ref="CE3:CE4"/>
    <mergeCell ref="CC3:CC4"/>
    <mergeCell ref="BY3:BY4"/>
    <mergeCell ref="BF3:BF4"/>
    <mergeCell ref="BT3:BT4"/>
    <mergeCell ref="BU3:BU4"/>
    <mergeCell ref="BH3:BI3"/>
    <mergeCell ref="BL3:BM3"/>
    <mergeCell ref="BG3:BG4"/>
    <mergeCell ref="BN3:BO3"/>
    <mergeCell ref="BR3:BR4"/>
    <mergeCell ref="P3:Q3"/>
    <mergeCell ref="J3:L3"/>
    <mergeCell ref="M3:O3"/>
    <mergeCell ref="R3:S3"/>
    <mergeCell ref="V3:W3"/>
    <mergeCell ref="Z3:AA3"/>
    <mergeCell ref="AB3:AF3"/>
    <mergeCell ref="AG3:AK3"/>
    <mergeCell ref="CL3:CL4"/>
    <mergeCell ref="CM3:CM4"/>
    <mergeCell ref="A1:C2"/>
    <mergeCell ref="T3:U3"/>
    <mergeCell ref="X3:Y3"/>
    <mergeCell ref="AV3:AX3"/>
    <mergeCell ref="BD3:BD4"/>
    <mergeCell ref="BQ3:BQ4"/>
    <mergeCell ref="BP3:BP4"/>
    <mergeCell ref="BE3:BE4"/>
  </mergeCells>
  <phoneticPr fontId="9" type="noConversion"/>
  <conditionalFormatting sqref="B1:B5 B9:B15 C5:GD5">
    <cfRule type="expression" dxfId="0" priority="3" stopIfTrue="1">
      <formula>AND(COUNTIF($B$1:$B$5, B1)+COUNTIF($B$9:$B$15, B1)+COUNTIF($C$5:$GD$5, B1)&gt;1,NOT(ISBLANK(B1)))</formula>
    </cfRule>
  </conditionalFormatting>
  <pageMargins left="0.75" right="0.75" top="1" bottom="1" header="0.5" footer="0.5"/>
  <pageSetup paperSize="9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lgd</dc:creator>
  <cp:keywords/>
  <dc:description/>
  <cp:lastModifiedBy>Minh Thuy Ha</cp:lastModifiedBy>
  <cp:revision>1</cp:revision>
  <dcterms:created xsi:type="dcterms:W3CDTF">2013-12-05T08:47:29Z</dcterms:created>
  <dcterms:modified xsi:type="dcterms:W3CDTF">2026-09-03T09:27:24Z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  <property fmtid="{D5CDD505-2E9C-101B-9397-08002B2CF9AE}" pid="3" name="WorkbookGuid">
    <vt:lpwstr>e2f53761-9a15-41dc-8f52-4f75120a0561</vt:lpwstr>
  </property>
</Properties>
</file>